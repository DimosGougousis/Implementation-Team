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Users\prasannakumars\OneDrive - Temenos\Desktop\R25\Temenos-R25-Banking-Reference-Processes(TLC)\Temenos-R25-Banking-Reference-Processes(TLC)-Pack\"/>
    </mc:Choice>
  </mc:AlternateContent>
  <xr:revisionPtr revIDLastSave="0" documentId="13_ncr:1_{A981D19A-7D09-4533-9437-7A56A075C56D}" xr6:coauthVersionLast="47" xr6:coauthVersionMax="47" xr10:uidLastSave="{00000000-0000-0000-0000-000000000000}"/>
  <bookViews>
    <workbookView xWindow="-110" yWindow="-110" windowWidth="19420" windowHeight="10420" tabRatio="935" xr2:uid="{00000000-000D-0000-FFFF-FFFF00000000}"/>
  </bookViews>
  <sheets>
    <sheet name="Temenos" sheetId="37" r:id="rId1"/>
    <sheet name="Home" sheetId="11" r:id="rId2"/>
    <sheet name=" (0) Customer Relationship Mgmt" sheetId="15" r:id="rId3"/>
    <sheet name="(1) Retail Banking Processes" sheetId="12" r:id="rId4"/>
    <sheet name="(2) Corporate Banking Processes" sheetId="13" r:id="rId5"/>
    <sheet name="(3) Transactional Processes" sheetId="14" r:id="rId6"/>
    <sheet name="(4) Treasury Processes" sheetId="7" r:id="rId7"/>
    <sheet name="(5) Private Wealth Management" sheetId="8" r:id="rId8"/>
    <sheet name="(6) Online Channels" sheetId="16" r:id="rId9"/>
    <sheet name="(7) Security Management (SMS)" sheetId="40" r:id="rId10"/>
    <sheet name="(8) Financial Accounting" sheetId="22" r:id="rId11"/>
    <sheet name="(9) Core Parameters" sheetId="23" r:id="rId12"/>
    <sheet name="(10) Islamic Banking" sheetId="27" r:id="rId13"/>
    <sheet name="(11) Regionalized Solution" sheetId="28" r:id="rId14"/>
    <sheet name="(12) Digital Engagement" sheetId="30" r:id="rId15"/>
    <sheet name="(13) Reporting and Compliance" sheetId="31" r:id="rId16"/>
    <sheet name="(14) Financial Crime Mitigation" sheetId="32" r:id="rId17"/>
    <sheet name="(15) Fund Accounting Processes" sheetId="33" r:id="rId18"/>
    <sheet name="(16) Digital Banking (Infinity)" sheetId="35" r:id="rId19"/>
    <sheet name="(17) Temenos Banking Solution" sheetId="36" r:id="rId20"/>
    <sheet name="(18) Business Banking Processes" sheetId="38" r:id="rId21"/>
    <sheet name="(19) Enterprise Services" sheetId="39" r:id="rId22"/>
    <sheet name="(20) Financial Risk (FRM)  " sheetId="17" r:id="rId23"/>
    <sheet name="(21) Platform Based Approach" sheetId="41" r:id="rId24"/>
  </sheets>
  <definedNames>
    <definedName name="_xlnm._FilterDatabase" localSheetId="2" hidden="1">' (0) Customer Relationship Mgmt'!$B$8:$G$77</definedName>
    <definedName name="_xlnm._FilterDatabase" localSheetId="3" hidden="1">'(1) Retail Banking Processes'!$B$8:$G$208</definedName>
    <definedName name="_xlnm._FilterDatabase" localSheetId="12" hidden="1">'(10) Islamic Banking'!$B$8:$BK$141</definedName>
    <definedName name="_xlnm._FilterDatabase" localSheetId="13" hidden="1">'(11) Regionalized Solution'!$A$8:$CK$286</definedName>
    <definedName name="_xlnm._FilterDatabase" localSheetId="14" hidden="1">'(12) Digital Engagement'!$A$7:$CK$36</definedName>
    <definedName name="_xlnm._FilterDatabase" localSheetId="15" hidden="1">'(13) Reporting and Compliance'!$A$8:$CK$48</definedName>
    <definedName name="_xlnm._FilterDatabase" localSheetId="16" hidden="1">'(14) Financial Crime Mitigation'!$A$8:$CK$90</definedName>
    <definedName name="_xlnm._FilterDatabase" localSheetId="17" hidden="1">'(15) Fund Accounting Processes'!$B$8:$I$93</definedName>
    <definedName name="_xlnm._FilterDatabase" localSheetId="18" hidden="1">'(16) Digital Banking (Infinity)'!$B$8:$G$56</definedName>
    <definedName name="_xlnm._FilterDatabase" localSheetId="19" hidden="1">'(17) Temenos Banking Solution'!$B$8:$G$94</definedName>
    <definedName name="_xlnm._FilterDatabase" localSheetId="20" hidden="1">'(18) Business Banking Processes'!$B$8:$G$50</definedName>
    <definedName name="_xlnm._FilterDatabase" localSheetId="21" hidden="1">'(19) Enterprise Services'!$A$8:$G$85</definedName>
    <definedName name="_xlnm._FilterDatabase" localSheetId="4" hidden="1">'(2) Corporate Banking Processes'!$B$8:$H$288</definedName>
    <definedName name="_xlnm._FilterDatabase" localSheetId="22" hidden="1">'(20) Financial Risk (FRM)  '!$B$7:$E$10</definedName>
    <definedName name="_xlnm._FilterDatabase" localSheetId="23" hidden="1">'(21) Platform Based Approach'!$D$1:$D$302</definedName>
    <definedName name="_xlnm._FilterDatabase" localSheetId="5" hidden="1">'(3) Transactional Processes'!$A$7:$H$635</definedName>
    <definedName name="_xlnm._FilterDatabase" localSheetId="6" hidden="1">'(4) Treasury Processes'!$B$8:$H$140</definedName>
    <definedName name="_xlnm._FilterDatabase" localSheetId="7" hidden="1">'(5) Private Wealth Management'!$B$8:$H$399</definedName>
    <definedName name="_xlnm._FilterDatabase" localSheetId="8" hidden="1">'(6) Online Channels'!$B$8:$BI$133</definedName>
    <definedName name="_xlnm._FilterDatabase" localSheetId="9" hidden="1">'(7) Security Management (SMS)'!$B$7:$E$15</definedName>
    <definedName name="_xlnm._FilterDatabase" localSheetId="10" hidden="1">'(8) Financial Accounting'!$B$8:$BK$46</definedName>
    <definedName name="_xlnm._FilterDatabase" localSheetId="11" hidden="1">'(9) Core Parameters'!$B$8:$BK$22</definedName>
    <definedName name="Z_4E5EAF7A_CF2F_4C07_AA79_64CA92F3AC61_.wvu.FilterData" localSheetId="3" hidden="1">'(1) Retail Banking Processes'!#REF!</definedName>
    <definedName name="Z_4E5EAF7A_CF2F_4C07_AA79_64CA92F3AC61_.wvu.FilterData" localSheetId="4" hidden="1">'(2) Corporate Banking Processes'!$B$8:$D$114</definedName>
    <definedName name="Z_4E5EAF7A_CF2F_4C07_AA79_64CA92F3AC61_.wvu.FilterData" localSheetId="5" hidden="1">'(3) Transactional Processes'!#REF!</definedName>
    <definedName name="Z_663F3A4F_2DA3_4FF7_B9B8_75A525989C41_.wvu.FilterData" localSheetId="3" hidden="1">'(1) Retail Banking Processes'!#REF!</definedName>
    <definedName name="Z_663F3A4F_2DA3_4FF7_B9B8_75A525989C41_.wvu.FilterData" localSheetId="4" hidden="1">'(2) Corporate Banking Processes'!$B$8:$D$114</definedName>
    <definedName name="Z_663F3A4F_2DA3_4FF7_B9B8_75A525989C41_.wvu.FilterData" localSheetId="5" hidden="1">'(3) Transactional Processes'!#REF!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28" l="1"/>
  <c r="G322" i="28"/>
  <c r="G198" i="28"/>
  <c r="E3" i="23"/>
  <c r="G3" i="23"/>
  <c r="G23" i="23"/>
  <c r="G3" i="35"/>
  <c r="G3" i="31" l="1"/>
  <c r="G3" i="17" l="1"/>
  <c r="E3" i="7" l="1"/>
  <c r="G141" i="7"/>
  <c r="G9" i="41"/>
  <c r="G235" i="14" l="1"/>
  <c r="E3" i="28"/>
  <c r="G333" i="28"/>
  <c r="G287" i="28" l="1"/>
  <c r="G55" i="31"/>
  <c r="E3" i="17"/>
  <c r="G67" i="35"/>
  <c r="E3" i="35"/>
  <c r="G69" i="35"/>
  <c r="G9" i="35"/>
  <c r="G30" i="38"/>
  <c r="E3" i="27" l="1"/>
  <c r="G142" i="27"/>
  <c r="E3" i="31"/>
  <c r="G85" i="31"/>
  <c r="E3" i="38"/>
  <c r="G279" i="14"/>
  <c r="G9" i="28"/>
  <c r="G79" i="31"/>
  <c r="G9" i="31"/>
  <c r="E3" i="15"/>
  <c r="G3" i="15"/>
  <c r="E3" i="13" l="1"/>
  <c r="G3" i="13"/>
  <c r="G289" i="13"/>
  <c r="G311" i="28"/>
  <c r="G218" i="41"/>
  <c r="G3" i="41" s="1"/>
  <c r="G187" i="13" l="1"/>
  <c r="G63" i="15"/>
  <c r="E3" i="22"/>
  <c r="G43" i="22"/>
  <c r="G49" i="31" l="1"/>
  <c r="G596" i="14"/>
  <c r="E3" i="12" l="1"/>
  <c r="G3" i="12"/>
  <c r="E3" i="41" l="1"/>
  <c r="G63" i="35" l="1"/>
  <c r="G574" i="14"/>
  <c r="G52" i="31" l="1"/>
  <c r="G3" i="32"/>
  <c r="G284" i="28"/>
  <c r="G247" i="28"/>
  <c r="G142" i="28"/>
  <c r="G56" i="28"/>
  <c r="G43" i="35"/>
  <c r="G30" i="35"/>
  <c r="G13" i="17" l="1"/>
  <c r="G26" i="17"/>
  <c r="E24" i="11" l="1"/>
  <c r="E3" i="14"/>
  <c r="G602" i="14"/>
  <c r="G43" i="8"/>
  <c r="G96" i="39"/>
  <c r="G3" i="39" s="1"/>
  <c r="G623" i="14"/>
  <c r="E3" i="39"/>
  <c r="G484" i="14"/>
  <c r="G9" i="17"/>
  <c r="G190" i="8"/>
  <c r="E23" i="11" l="1"/>
  <c r="G12" i="40" l="1"/>
  <c r="G9" i="40"/>
  <c r="G3" i="40" s="1"/>
  <c r="E10" i="11" s="1"/>
  <c r="E3" i="40"/>
  <c r="G200" i="12" l="1"/>
  <c r="G119" i="12"/>
  <c r="G62" i="12"/>
  <c r="G9" i="12"/>
  <c r="G9" i="39"/>
  <c r="G269" i="14"/>
  <c r="G219" i="14"/>
  <c r="G189" i="14"/>
  <c r="G93" i="14"/>
  <c r="G74" i="14"/>
  <c r="G617" i="14"/>
  <c r="G559" i="14"/>
  <c r="G531" i="14"/>
  <c r="G209" i="12" l="1"/>
  <c r="G19" i="36" l="1"/>
  <c r="G62" i="36"/>
  <c r="G83" i="36"/>
  <c r="G75" i="13"/>
  <c r="E22" i="11" l="1"/>
  <c r="G611" i="14" l="1"/>
  <c r="G522" i="14"/>
  <c r="G516" i="14"/>
  <c r="G507" i="14"/>
  <c r="G9" i="14" l="1"/>
  <c r="G3" i="14" s="1"/>
  <c r="G14" i="38" l="1"/>
  <c r="G20" i="38"/>
  <c r="G25" i="38"/>
  <c r="G9" i="38" l="1"/>
  <c r="G3" i="38" s="1"/>
  <c r="E3" i="36" l="1"/>
  <c r="G19" i="32" l="1"/>
  <c r="G72" i="36" l="1"/>
  <c r="G18" i="31" l="1"/>
  <c r="E3" i="32"/>
  <c r="G89" i="32"/>
  <c r="G45" i="31" l="1"/>
  <c r="G22" i="35"/>
  <c r="G9" i="36"/>
  <c r="G3" i="36" s="1"/>
  <c r="G48" i="32" l="1"/>
  <c r="G278" i="13" l="1"/>
  <c r="G271" i="8"/>
  <c r="G9" i="13" l="1"/>
  <c r="G229" i="28" l="1"/>
  <c r="G40" i="31" l="1"/>
  <c r="G18" i="35" l="1"/>
  <c r="E19" i="11" l="1"/>
  <c r="G92" i="33" l="1"/>
  <c r="G89" i="33" s="1"/>
  <c r="G86" i="33" s="1"/>
  <c r="G65" i="33"/>
  <c r="G25" i="33"/>
  <c r="G20" i="33"/>
  <c r="G18" i="33"/>
  <c r="G9" i="33"/>
  <c r="E3" i="33"/>
  <c r="G3" i="33" l="1"/>
  <c r="E3" i="8" l="1"/>
  <c r="G195" i="12" l="1"/>
  <c r="G9" i="30" l="1"/>
  <c r="G85" i="32" l="1"/>
  <c r="G9" i="32" l="1"/>
  <c r="G139" i="8" l="1"/>
  <c r="G41" i="32" l="1"/>
  <c r="G21" i="23" l="1"/>
  <c r="E18" i="11" l="1"/>
  <c r="G62" i="32"/>
  <c r="G55" i="32" l="1"/>
  <c r="G36" i="31" l="1"/>
  <c r="G34" i="31" s="1"/>
  <c r="E3" i="30" l="1"/>
  <c r="E3" i="16"/>
  <c r="G87" i="7" l="1"/>
  <c r="G96" i="7"/>
  <c r="G68" i="7"/>
  <c r="G35" i="15" l="1"/>
  <c r="E4" i="12" l="1"/>
  <c r="E4" i="13" s="1"/>
  <c r="E4" i="14" l="1"/>
  <c r="E4" i="7" s="1"/>
  <c r="E4" i="8" s="1"/>
  <c r="E4" i="16" s="1"/>
  <c r="E4" i="41" s="1"/>
  <c r="G191" i="12"/>
  <c r="E4" i="17" l="1"/>
  <c r="E4" i="22" s="1"/>
  <c r="E4" i="39" s="1"/>
  <c r="E4" i="40"/>
  <c r="G29" i="31"/>
  <c r="E4" i="36" l="1"/>
  <c r="E4" i="23"/>
  <c r="E4" i="27" s="1"/>
  <c r="E4" i="28" s="1"/>
  <c r="E4" i="30" s="1"/>
  <c r="E4" i="35" s="1"/>
  <c r="E4" i="38"/>
  <c r="G123" i="7"/>
  <c r="E4" i="32" l="1"/>
  <c r="E4" i="31"/>
  <c r="E4" i="33"/>
  <c r="G175" i="12"/>
  <c r="G12" i="27" l="1"/>
  <c r="G33" i="30" l="1"/>
  <c r="G24" i="30"/>
  <c r="G3" i="30" l="1"/>
  <c r="G9" i="15" l="1"/>
  <c r="G12" i="15"/>
  <c r="G21" i="15"/>
  <c r="G38" i="15"/>
  <c r="G46" i="15"/>
  <c r="G55" i="15"/>
  <c r="G58" i="15"/>
  <c r="E15" i="11" l="1"/>
  <c r="G174" i="8"/>
  <c r="G9" i="16"/>
  <c r="G27" i="16"/>
  <c r="E3" i="11" l="1"/>
  <c r="G105" i="27" l="1"/>
  <c r="G24" i="27"/>
  <c r="G9" i="27" l="1"/>
  <c r="G123" i="16" l="1"/>
  <c r="G86" i="16" l="1"/>
  <c r="G31" i="22" l="1"/>
  <c r="G94" i="27" l="1"/>
  <c r="G51" i="27"/>
  <c r="G29" i="27"/>
  <c r="G3" i="27" l="1"/>
  <c r="E13" i="11" s="1"/>
  <c r="E6" i="11"/>
  <c r="G47" i="16"/>
  <c r="G3" i="16" s="1"/>
  <c r="E9" i="11" l="1"/>
  <c r="G25" i="22" l="1"/>
  <c r="G120" i="7"/>
  <c r="G113" i="7"/>
  <c r="G23" i="7" l="1"/>
  <c r="G9" i="7"/>
  <c r="G11" i="23"/>
  <c r="G13" i="23"/>
  <c r="E4" i="11" l="1"/>
  <c r="E5" i="11"/>
  <c r="G246" i="8" l="1"/>
  <c r="G9" i="23"/>
  <c r="G9" i="22"/>
  <c r="G108" i="7"/>
  <c r="G18" i="23" l="1"/>
  <c r="G16" i="23"/>
  <c r="G37" i="22"/>
  <c r="G16" i="22"/>
  <c r="G262" i="8"/>
  <c r="G167" i="8"/>
  <c r="G9" i="8"/>
  <c r="G3" i="8" s="1"/>
  <c r="G58" i="7"/>
  <c r="G48" i="7"/>
  <c r="G38" i="7"/>
  <c r="G3" i="7" l="1"/>
  <c r="G3" i="22"/>
  <c r="E11" i="11"/>
  <c r="E12" i="11" l="1"/>
  <c r="E7" i="11"/>
  <c r="E8" i="11" l="1"/>
  <c r="E17" i="11"/>
  <c r="E16" i="11" l="1"/>
  <c r="E20" i="11" l="1"/>
  <c r="E14" i="11"/>
  <c r="E21" i="11" l="1"/>
  <c r="E25" i="11" s="1"/>
</calcChain>
</file>

<file path=xl/sharedStrings.xml><?xml version="1.0" encoding="utf-8"?>
<sst xmlns="http://schemas.openxmlformats.org/spreadsheetml/2006/main" count="9192" uniqueCount="5688">
  <si>
    <t>Generate Account Statements</t>
  </si>
  <si>
    <t>Change Denominations</t>
  </si>
  <si>
    <t>Change Till User</t>
  </si>
  <si>
    <t>Create New Till</t>
  </si>
  <si>
    <t>Perform Past Due Adjustment</t>
  </si>
  <si>
    <t>Perform Past Due Write-Off</t>
  </si>
  <si>
    <t>Register Import Collection</t>
  </si>
  <si>
    <t>Accept Import Collection</t>
  </si>
  <si>
    <t>Amend Import Collection</t>
  </si>
  <si>
    <t>Settle Import Collection</t>
  </si>
  <si>
    <t>Amend Export Collection</t>
  </si>
  <si>
    <t>Register Export Collection</t>
  </si>
  <si>
    <t>Settle Export Collection</t>
  </si>
  <si>
    <t>Issue Guarantee</t>
  </si>
  <si>
    <t>Register Claims</t>
  </si>
  <si>
    <t>Execute Standing Order</t>
  </si>
  <si>
    <t>Execute Settlement (FRA)</t>
  </si>
  <si>
    <t>Execute Settlement (SWAP)</t>
  </si>
  <si>
    <t>Execute Settlement (Money Market)</t>
  </si>
  <si>
    <t>Define Asset Allocation</t>
  </si>
  <si>
    <t>Maintain Security Recommendation</t>
  </si>
  <si>
    <t>Maintain Cash Model</t>
  </si>
  <si>
    <t>Maintain Securities Model</t>
  </si>
  <si>
    <t>Perform Currency Rebalancing</t>
  </si>
  <si>
    <t>Perform Security Rebalancing</t>
  </si>
  <si>
    <t>Perform What-If Scenario Analysis</t>
  </si>
  <si>
    <t>Define Portfolio Segmentation</t>
  </si>
  <si>
    <t>Execute Security Order (STP)</t>
  </si>
  <si>
    <t>Initiate Security Order (STP)</t>
  </si>
  <si>
    <t>Correct Trade Errors</t>
  </si>
  <si>
    <t>Perform Stock Reconciliation</t>
  </si>
  <si>
    <t>Update Vault</t>
  </si>
  <si>
    <t>Initiate Derivatives Order</t>
  </si>
  <si>
    <t>Execute Settlement (Forex)</t>
  </si>
  <si>
    <t>Perform External Asset Transfer</t>
  </si>
  <si>
    <t>Perform Internal Asset Transfers (Stock)</t>
  </si>
  <si>
    <t>Enter Diary Events</t>
  </si>
  <si>
    <t>Manage Corporate Event Notification - Mandatory</t>
  </si>
  <si>
    <t>Manage Corporate Event Notification - Voluntary</t>
  </si>
  <si>
    <t>Retail Banking</t>
  </si>
  <si>
    <t>Treasury</t>
  </si>
  <si>
    <t>Business Area</t>
  </si>
  <si>
    <t>Create Import Loan</t>
  </si>
  <si>
    <t>Provide Export Financing</t>
  </si>
  <si>
    <t>Set Up Corporate Loan</t>
  </si>
  <si>
    <t>Define Commitments</t>
  </si>
  <si>
    <t>Issue Debit Card</t>
  </si>
  <si>
    <t>Manage Debit Card</t>
  </si>
  <si>
    <t>Perform Partial Withdrawals (LD)</t>
  </si>
  <si>
    <t>Initiate Security Order (2 Step)</t>
  </si>
  <si>
    <t>Initiate OTC Order</t>
  </si>
  <si>
    <t>Execute Settlement (Derivatives)</t>
  </si>
  <si>
    <t>Initiate Fiduciary Order</t>
  </si>
  <si>
    <t>Issue Passbook</t>
  </si>
  <si>
    <t>Process Description</t>
  </si>
  <si>
    <t>The process begins with the receipt of Outstation cheques at the back office for verification. The back office team ensures that the request is complete and all the details required for collection are available, before processing the cheques for collection.</t>
  </si>
  <si>
    <t>Transactional Processes</t>
  </si>
  <si>
    <t>The process is initiated by a customer for placing a MF order, the account balance is checked and blocked before the booking is performed.</t>
  </si>
  <si>
    <t>The corporate actions information is received from AMC. Diary events are generated based on the information, which is used to generate the entitlements and update the customer position.</t>
  </si>
  <si>
    <t>The process describes capturing of new securities into the master for future trading.</t>
  </si>
  <si>
    <t>The security prices are updated into the tables through external system's interface or manually updated.</t>
  </si>
  <si>
    <t>The MF order placed is verified and deal status is changed to 'execute' for back office processing.</t>
  </si>
  <si>
    <t>The process begins with the customer requesting a transfer from one account to another within the bank. The request may be dropped in a drop box or handed over to the teller in person. The request is forwarded to the back office for processing.</t>
  </si>
  <si>
    <t>Issue Cheque Book</t>
  </si>
  <si>
    <t>Manage Prepayment (LD)</t>
  </si>
  <si>
    <t>Manage Repayment (LD)</t>
  </si>
  <si>
    <t>Perform Closeout (Derivatives)</t>
  </si>
  <si>
    <t>Perform Corporate Actions (Derivatives)</t>
  </si>
  <si>
    <t>Renew Fiduciary Orders</t>
  </si>
  <si>
    <t>Process describes activities in case of a request from Importer for issue of shipping guarantee in lieu of shipping documents (which are yet to be received).</t>
  </si>
  <si>
    <t>The process describes the activities for repayment of export loan on receipt of export proceeds or funding by the exporter.</t>
  </si>
  <si>
    <t>The process describes the activities to receive and advise Amendment of Export LC to the exporter.</t>
  </si>
  <si>
    <t>Process describes activities to settle import collection. i.e. receive payment of import collection (sight or usance) from importer and remit proceeds to exporter's Bank.</t>
  </si>
  <si>
    <t>Manage Past Due (AA)</t>
  </si>
  <si>
    <t>Close Loan (AA)</t>
  </si>
  <si>
    <t>Perform Repayment (AA)</t>
  </si>
  <si>
    <t>Manage Prepayments (AA)</t>
  </si>
  <si>
    <t>Execute Sweep (Asset Management)</t>
  </si>
  <si>
    <t>Initiate Direct Trade (Securities)</t>
  </si>
  <si>
    <t xml:space="preserve">Release </t>
  </si>
  <si>
    <t xml:space="preserve">Private Wealth Management </t>
  </si>
  <si>
    <t>3.1 Payment Processes</t>
  </si>
  <si>
    <t>The process begins with the receipt of an outward remittance request from the customer. The application is received at the front office, which is forwarded to the back office for execution.</t>
  </si>
  <si>
    <t xml:space="preserve">Process Area </t>
  </si>
  <si>
    <t>Summary</t>
  </si>
  <si>
    <t>Customer Relationship Management Processes</t>
  </si>
  <si>
    <t>Scenario</t>
  </si>
  <si>
    <t xml:space="preserve">Process </t>
  </si>
  <si>
    <t>This Process describes blocking and unblocking of funds for an account, for a specific period and amount.</t>
  </si>
  <si>
    <t>Reset Inactive Account</t>
  </si>
  <si>
    <t>This process is used to revoke a stop payment of a cheque registered in the system.</t>
  </si>
  <si>
    <t>Set Up Sweep</t>
  </si>
  <si>
    <t>1.2 Teller Processes</t>
  </si>
  <si>
    <t>Execute LCY Cash Deposit</t>
  </si>
  <si>
    <t>Execute FCY Cash Withdrawal</t>
  </si>
  <si>
    <t>Execute LCY Cash Withdrawal</t>
  </si>
  <si>
    <t>This process describes Local Currency Cash withdrawal from an account.</t>
  </si>
  <si>
    <t>Execute Sell FCY Against LCY Cash</t>
  </si>
  <si>
    <t>This process is used to create a new Till and assigning the till to a teller.</t>
  </si>
  <si>
    <t>This process describes activities for reopening a Till as part of Start of Day activity of the Head Teller.</t>
  </si>
  <si>
    <t>Evaluate Cash Position In Vault</t>
  </si>
  <si>
    <t>Receive Cash From Central Bank</t>
  </si>
  <si>
    <t>Remit Cash To Central Bank</t>
  </si>
  <si>
    <t>Transfer Cash Between Tills</t>
  </si>
  <si>
    <t>This process describes the activities relating to the transfer of cash from one teller to another teller.</t>
  </si>
  <si>
    <t>Transfer Cash From Till To Vault</t>
  </si>
  <si>
    <t>Transfer Cash From Vault To Till</t>
  </si>
  <si>
    <t>Verify Cash Deposit Transaction Limits</t>
  </si>
  <si>
    <t>Verify Transaction Limits</t>
  </si>
  <si>
    <t>Repay Past Due (AA)</t>
  </si>
  <si>
    <t>Complete Corporate Current Account Opening</t>
  </si>
  <si>
    <t>2.1.2 Deposits</t>
  </si>
  <si>
    <t>This process describes the activities for revoking a sweep transaction already executed by the system. Reversal entries are passed during close of business.</t>
  </si>
  <si>
    <t>2.2.1 Import Letter of Credit</t>
  </si>
  <si>
    <t>Process depicts capture and approve Pre Advise if required and send out MT705 to Correspondent Bank. Short particulars of LC are advised to the exporter's Bank through this process.</t>
  </si>
  <si>
    <t>2.2.2 Export Letter of Credit</t>
  </si>
  <si>
    <t>The process describes activities to capture and approve Pre Advise received from the LC issuing Bank through MT705. Short particulars of LC are advised to the exporter.</t>
  </si>
  <si>
    <t>Perform Payment Under Reserve</t>
  </si>
  <si>
    <t>The process describes activities if the Sight Export documents under LC having discrepancies are negotiated under Reserve after accepting indemnity from the exporter.</t>
  </si>
  <si>
    <t>Export Loan Adjustment</t>
  </si>
  <si>
    <t>2.2.3 Import Collection</t>
  </si>
  <si>
    <t>The process depicts activities of amendment to import collection document received from the exporter's Bank.</t>
  </si>
  <si>
    <t>The process describes the activities to be performed in case of refusal of payment on import collection document by Importer and also return of documents to the exporter's Bank.</t>
  </si>
  <si>
    <t>2.2.4 Export Collection</t>
  </si>
  <si>
    <t>2.2.5 Shipping Guarantee</t>
  </si>
  <si>
    <t>Issue Back To Back Guarantee</t>
  </si>
  <si>
    <t>2.3.1 Corporate Loans</t>
  </si>
  <si>
    <t>2.3.2 Project Loans</t>
  </si>
  <si>
    <t>Set Up Project Loan</t>
  </si>
  <si>
    <t>2.3.3 Syndicated Lending</t>
  </si>
  <si>
    <t>Process describes activities for defining tranches details such as start date, amount, etc.</t>
  </si>
  <si>
    <t>2.3.5 Past Dues</t>
  </si>
  <si>
    <t>Block Automatic Repayment</t>
  </si>
  <si>
    <t>Capture Past Due (LD)</t>
  </si>
  <si>
    <t>This is an automatic process triggered at EOD as set in the overdue parameters.</t>
  </si>
  <si>
    <t>Perform Financial Write-Off</t>
  </si>
  <si>
    <t>Perform Manual Provisioning On Past Dues</t>
  </si>
  <si>
    <t>This process supports receipt of repayment for a PD contract already written off.</t>
  </si>
  <si>
    <t>This process is used for performing adjustment of PD.</t>
  </si>
  <si>
    <t>Repay Past Due</t>
  </si>
  <si>
    <t>Set Up Limit (Corporate)</t>
  </si>
  <si>
    <t>2.4.1 Initiation</t>
  </si>
  <si>
    <t>2.4.3 Maintenance</t>
  </si>
  <si>
    <t>Receive Request For Standing Order</t>
  </si>
  <si>
    <t>The process begins with the receipt of Standing order request from our Customers. Necessary verification is done before setting up the standing order.</t>
  </si>
  <si>
    <t>Set Up Standing Order</t>
  </si>
  <si>
    <t>Verify Standing Order Transaction Limits</t>
  </si>
  <si>
    <t>Verify Direct Debit Transactions Limits</t>
  </si>
  <si>
    <t>3.2.1 Internal Cheques</t>
  </si>
  <si>
    <t>Process Cheque Payment</t>
  </si>
  <si>
    <t>Receive Internal Cheque</t>
  </si>
  <si>
    <t>Verify Internal Cheque</t>
  </si>
  <si>
    <t>The process is to forward all the Outstation external cheques for collection. Based on the cheque clearance status the balances are released to the customer. If the cheque is returned then necessary accounting entries are passed and physical cheque is returned to the Customer.</t>
  </si>
  <si>
    <t>4.2.3 Settlement</t>
  </si>
  <si>
    <t>Perform Dealer Book Portfolio Transfer</t>
  </si>
  <si>
    <t>4.3 FRA</t>
  </si>
  <si>
    <t>Execute Trade (FRA)</t>
  </si>
  <si>
    <t>4.3.3 Confirmation</t>
  </si>
  <si>
    <t>4.3.4 Settlement</t>
  </si>
  <si>
    <t>This process describes the Settlement of FRA deals and generation of settlement messages.</t>
  </si>
  <si>
    <t>Fix Rates (FRA)</t>
  </si>
  <si>
    <t>4.4 SWAPS</t>
  </si>
  <si>
    <t>Execute Trade (SWAP)</t>
  </si>
  <si>
    <t>4.4.3 Confirmation</t>
  </si>
  <si>
    <t>This process involves verification of SWAP deal details, settlements details, authorisation and confirmation of SWAP.</t>
  </si>
  <si>
    <t>4.4.4 Settlement</t>
  </si>
  <si>
    <t>This process describes the settlement of SWAP deals, posting of accounting entries and generation of SWIFT messages.</t>
  </si>
  <si>
    <t>Reset Rates (SWAP)</t>
  </si>
  <si>
    <t>This process involves contacting the counter party for periodic interest rate setting. The system automatically generates SWIFT message confirming the rate change.</t>
  </si>
  <si>
    <t>4.5 Money Market</t>
  </si>
  <si>
    <t>This process involves formulation of an appropriate MM deal strategy after analysis of current position and market information.</t>
  </si>
  <si>
    <t>Execute Trade (Money Market)</t>
  </si>
  <si>
    <t>4.5.3 Confirmation</t>
  </si>
  <si>
    <t>4.5.4 Settlement</t>
  </si>
  <si>
    <t>This process details the maturity repayment or rollover of a money market deal. The system automatically generates the accounting entries and applicable SWIFT messages.</t>
  </si>
  <si>
    <t>4.6 Forex</t>
  </si>
  <si>
    <t>Execute Forex Trade (Bulk Order)</t>
  </si>
  <si>
    <t>Execute Internal Forex Deal</t>
  </si>
  <si>
    <t>Execute Trade (Forex)</t>
  </si>
  <si>
    <t>4.6.3 Confirmation</t>
  </si>
  <si>
    <t>When the trade data is available to the back office, a master deal is generated to capture the bulk order. Upon authorising the master deal, the child deals are created.</t>
  </si>
  <si>
    <t>As part of this process, current position and market information is analysed and an appropriate trading strategy for derivatives (own book) is formulated.</t>
  </si>
  <si>
    <t>5.1.1.3 Portfolio Modeling</t>
  </si>
  <si>
    <t>Assign Model To Investment Strategy</t>
  </si>
  <si>
    <t>This process describes the assignment of a portfolio model to an investment strategy.</t>
  </si>
  <si>
    <t>5.1.1.5 Order Management</t>
  </si>
  <si>
    <t>Perform Back Value Processing</t>
  </si>
  <si>
    <t>5.1.1.7 Performance</t>
  </si>
  <si>
    <t>Maintain Benchmarks For Performance Reporting</t>
  </si>
  <si>
    <t>Maintain Composites For Performance Reporting</t>
  </si>
  <si>
    <t>Maintain Group Of Portfolios</t>
  </si>
  <si>
    <t>5.1.1.8 Segmentation</t>
  </si>
  <si>
    <t>5.1.1.9 Hierarchical valuation</t>
  </si>
  <si>
    <t>5.1.1.10 Sweep</t>
  </si>
  <si>
    <t>5.2.1 Securities</t>
  </si>
  <si>
    <t>The process describes the activities of Order Amendment/ Cancellation prior to execution.</t>
  </si>
  <si>
    <t>5.2.1.2 Settlement</t>
  </si>
  <si>
    <t>Execute Settlement (Securities)</t>
  </si>
  <si>
    <t>5.2.1.3 Reconciliation</t>
  </si>
  <si>
    <t>5.2.1.4 Miscellaneous</t>
  </si>
  <si>
    <t>5.2.2 Derivatives</t>
  </si>
  <si>
    <t>5.2.2.2 Confirmation</t>
  </si>
  <si>
    <t>5.2.2.3 Settlement</t>
  </si>
  <si>
    <t>Once a Derivatives Trade is completed and verified, system automatically generates accounting entries and Trade confirmation advices.</t>
  </si>
  <si>
    <t>Trigger Exotic Options</t>
  </si>
  <si>
    <t>5.2.3.2 Confirmation</t>
  </si>
  <si>
    <t>Confirm Deal (Forex)</t>
  </si>
  <si>
    <t>5.2.3.3 Settlement</t>
  </si>
  <si>
    <t>5.3.1 Asset Transfer</t>
  </si>
  <si>
    <t>5.3.2 Corporate Actions</t>
  </si>
  <si>
    <t>Set Up Fee Structure</t>
  </si>
  <si>
    <t>Initiate Mutual Fund Order</t>
  </si>
  <si>
    <t>5.4.2 Execution</t>
  </si>
  <si>
    <t>5.4.3 Settlement</t>
  </si>
  <si>
    <t>Perform Settlement Of Mutual Fund Order</t>
  </si>
  <si>
    <t>5.4.4 Corporate Actions</t>
  </si>
  <si>
    <t>Initiate Mutual Fund Order (FMC)</t>
  </si>
  <si>
    <t>This process highlights the creation of an agent in FMC books and linking of specific fees to the Agents.</t>
  </si>
  <si>
    <t>Similar Fiduciary Orders are pooled into Groups to enable easy placement. The funds are placed once all the orders in a group are approved and the pool closed.</t>
  </si>
  <si>
    <t>5.5.2 Order Processing</t>
  </si>
  <si>
    <t>5.5.3 Placement of Orders</t>
  </si>
  <si>
    <t>This process involves formulation of an appropriate FRA deal strategy after analysis of current position and market information.</t>
  </si>
  <si>
    <t>This process involves formulation of an appropriate SWAP deal strategy after analysis of current position and market information.</t>
  </si>
  <si>
    <t>This process involves formulation of an appropriate Forex deal strategy after analysis of current position and market information.</t>
  </si>
  <si>
    <t>This process describes the capture of a MM deal in the system and providing trade data to back office for further processing.</t>
  </si>
  <si>
    <t>This process describes the activities associated with verification of all the details of a MM deal - viz., authorisation, settlement and matching trade confirmation with deal data.</t>
  </si>
  <si>
    <t xml:space="preserve">Total no. of processes </t>
  </si>
  <si>
    <t>This process describes the receipt of an amendment request for an account from the Customer and updating the same on the system.</t>
  </si>
  <si>
    <t>This process describes the receipt of an amendment request for a deposit from the Customer and updating the same on the system.</t>
  </si>
  <si>
    <t>This process describes purchase of Foreign Currency Cash from a customer and handing over the equivalent local currency.</t>
  </si>
  <si>
    <t>This process describes sale of Foreign Currency Cash to a customer after receiving the equivalent local currency.</t>
  </si>
  <si>
    <t>This process involves for raising a request to Central Bank for cash requirement, receiving and accounting for the cash remittance.</t>
  </si>
  <si>
    <t>This process describes placing a request for cash remittance to Central Bank, dispatching and accounting for the cash remittance.</t>
  </si>
  <si>
    <t>The process involves transfer of cash from Till (teller) to the vault.</t>
  </si>
  <si>
    <t>This process describes activities to be undertaken on receipt of the shipping guarantee returned by shipping agent.</t>
  </si>
  <si>
    <t>This process describes the issue of Debit Card either as a part of the account opening process or on receipt of an ad hoc request.</t>
  </si>
  <si>
    <t>This process is for receiving and executing the request for prepayment to a loan contract.</t>
  </si>
  <si>
    <t>The process describes activities for repayment of a past due.</t>
  </si>
  <si>
    <t>This process is for setting up the overall facility for corporate customers who might have been approved multiple facilities.</t>
  </si>
  <si>
    <t>`</t>
  </si>
  <si>
    <t>Customer Relationship Management</t>
  </si>
  <si>
    <t xml:space="preserve">Total no of processes </t>
  </si>
  <si>
    <t>0.1 Retail Banking Clients</t>
  </si>
  <si>
    <t>Manage Customer Engagements (Retail)</t>
  </si>
  <si>
    <t>0.2 Corporate Banking Clients</t>
  </si>
  <si>
    <t>0.3.1 Customer Creation</t>
  </si>
  <si>
    <t>0.3.2 Portfolio Opening</t>
  </si>
  <si>
    <t>Open Customer Portfolio</t>
  </si>
  <si>
    <t>Close Customer Portfolio</t>
  </si>
  <si>
    <t>Create Bank Customer</t>
  </si>
  <si>
    <t>Create Routing Instructions</t>
  </si>
  <si>
    <t>Manage Campaigns</t>
  </si>
  <si>
    <t>Manage Opportunity Definitions</t>
  </si>
  <si>
    <t>Amend Customer Charge</t>
  </si>
  <si>
    <t>Amend Customer Details</t>
  </si>
  <si>
    <t>Set Up Customer Profiles</t>
  </si>
  <si>
    <t>This process describes the settlement of Forex deals, posting of accounting entries and generation of SWIFT messages.</t>
  </si>
  <si>
    <t>This process involves verification of Forex deal details, settlements, authorisation and matching trade confirmation with deal data.</t>
  </si>
  <si>
    <t>Create Intermediary Internet Banking User</t>
  </si>
  <si>
    <t>This process describes activities associated with the creation of an intermediary internet banking user id. As part of this process, for each customer whose portfolio falls under the jurisdiction of the intermediary, a proxy services arrangement is created, in which the permissions to portfolio(s) are defined. This is followed by creation of a new internet services arrangement ID where the user rights and arrangement preferences are specified. Finally, the Customer numbers are linked to the arrangement ID to generate the Intermediary user ID.</t>
  </si>
  <si>
    <t>7.1 SMS Set Up</t>
  </si>
  <si>
    <t>7.2 User Set Up and Maintenance</t>
  </si>
  <si>
    <t>This process describes activities associated with resetting the password. A new password is created in the system and communicated to the user. As a security measure, the user will be forced to change it on the first sign-on.</t>
  </si>
  <si>
    <t>Modify Cheque Settlement Date</t>
  </si>
  <si>
    <t>5.2.4 Structured Products</t>
  </si>
  <si>
    <t>Define Structured Product</t>
  </si>
  <si>
    <t>Define Structured Product Parameter</t>
  </si>
  <si>
    <t>This process describes the activities for setting up a product under the hierarchy of a product group. The product conditions are created or existing conditions are re-used and linked to a property. Subsequently the product set up is validated (proofed) and published, i.e., the product is now available for users to start creating arrangement(s). The same process can be used for amending the product also.</t>
  </si>
  <si>
    <t>Open Vostro Account</t>
  </si>
  <si>
    <t>4.1.3 Settlement</t>
  </si>
  <si>
    <t>4.1.4 Administration</t>
  </si>
  <si>
    <t>5.2.3 Forex</t>
  </si>
  <si>
    <t>1.2.1 Cash transactions</t>
  </si>
  <si>
    <t>Execute Direct Debit (Inward)</t>
  </si>
  <si>
    <t>The process describes the execution of the direct debit after a debit file is received from an originating bank.</t>
  </si>
  <si>
    <t>This process describes the validations that are undertaken on receipt of a customer's request for set up of an inward direct debit mandate.</t>
  </si>
  <si>
    <t>Receive Request For Direct Debit Mandate (Inward)</t>
  </si>
  <si>
    <t>Set Up Direct Debit Mandate (Inward)</t>
  </si>
  <si>
    <t>Cancel Direct Debit Instruction</t>
  </si>
  <si>
    <t>Execute Direct Debit (Outward)</t>
  </si>
  <si>
    <t>Receive Request For Direct Debit (Outward)</t>
  </si>
  <si>
    <t>This process describes the validations that are undertaken on receipt of a customer's request for set up of an outward direct debit mandate.</t>
  </si>
  <si>
    <t>Set Up Direct Debit Mandate (Outward)</t>
  </si>
  <si>
    <t>This process describes the capture of an Own book or a Customer derivatives deal in the system. In own book it's a direct trade input and for Customers the trade can be originated through an order as well.</t>
  </si>
  <si>
    <t>This process describes the settlement of MM call/notice deals, where a settlement date has to be input. Once the settlement date is entered, the posting of accounting entries and generation of SWIFT messages is an automated activity.</t>
  </si>
  <si>
    <t>Execute Security Order (Manual)</t>
  </si>
  <si>
    <t>Perform Pre Matching (Manual)</t>
  </si>
  <si>
    <t>After trade authorisation is completed, pre matching is performed by the system and the items parked in repair queue are either amended or taken up with counter party for correction.</t>
  </si>
  <si>
    <t>This process enables the RM to view the products under PWM &amp; input the order at the front office by capturing the details in a progressive manner. The assumption is that the customer is authenticated and balance checked before inputting the common order placement. The process then leads to capturing further details. The orders can be placed for initiating security order (STP), security order (1step), derivatives order, fiduciary order, forex trade, money market trade, mutual fund order etc.</t>
  </si>
  <si>
    <t>Perform Pre Matching (STP)</t>
  </si>
  <si>
    <t>Receive Instructions For Securities Transaction</t>
  </si>
  <si>
    <t>New settlement instructions need to be verified, approved and updated in the system.</t>
  </si>
  <si>
    <t>This process deals with the creation of a Bank Customer record in the system.</t>
  </si>
  <si>
    <t>Once a record for a Financial Institution is created and settlement instructions obtained, routing instructions are captured in the system.</t>
  </si>
  <si>
    <t>This process depicts the activities associated with setting up of internal accounts of the Bank, which are in the nature of own-book accounts.</t>
  </si>
  <si>
    <t>Open Nostro Account</t>
  </si>
  <si>
    <t>This process is used to amend Customer charge.</t>
  </si>
  <si>
    <t>KYC documents are obtained from the customer and checked against a KYC Checklist. For missing documents follow up actions are captured.</t>
  </si>
  <si>
    <t>This process deals with carrying out AML Blacklist checks on databases like OFAC (Office of Foreign Assets Control) or PEP (Politically Exposed Persons). The results from such checks are captured in the customer record.</t>
  </si>
  <si>
    <t>Set Up User For Role Based Home Page</t>
  </si>
  <si>
    <t>Set Up Override</t>
  </si>
  <si>
    <t>Reset Password</t>
  </si>
  <si>
    <t>Set Up User</t>
  </si>
  <si>
    <t>This process describes the activities associated with the cancellation of a standing order instruction on receipt of a request from the customer.</t>
  </si>
  <si>
    <t>Verify External Cheque (FCY)</t>
  </si>
  <si>
    <t>Input And Maintain Journal Entries</t>
  </si>
  <si>
    <t>Process for viewing the report pertaining to accounting entries created online or at COB and taking corrective action if there are any differences in batch posting.</t>
  </si>
  <si>
    <t>Review And Analyse Accounting Entries</t>
  </si>
  <si>
    <t>8.1 Financial Accounting Parameters Maintenance</t>
  </si>
  <si>
    <t>8.2 Accounting Entries Parameter Maintenance</t>
  </si>
  <si>
    <t>8.3 General Ledger Definition and Maintenance</t>
  </si>
  <si>
    <t>8.4 Financial Reports - Definition and Maintenance</t>
  </si>
  <si>
    <t>Maintain Accounting Static Data</t>
  </si>
  <si>
    <t>Maintain Bank Related Parameters</t>
  </si>
  <si>
    <t>Maintain Customer Related Parameters</t>
  </si>
  <si>
    <t>Maintain Finance Related Parameters</t>
  </si>
  <si>
    <t>Maintain Accounting Rules - AA</t>
  </si>
  <si>
    <t>Maintain Accounting Rules - Account Based</t>
  </si>
  <si>
    <t>Define And Maintain General Ledger Structure</t>
  </si>
  <si>
    <t>Map Chart Of Accounts To GL Structure</t>
  </si>
  <si>
    <t>Review and Reconcile GL Line Balances With Contracts And Accounts</t>
  </si>
  <si>
    <t>Review Central Reporting File</t>
  </si>
  <si>
    <t>Define And Maintain GL Report Column And Range</t>
  </si>
  <si>
    <t>Define And Maintain GL Report Lines And Range</t>
  </si>
  <si>
    <t>This process is for defining or maintaining the GL lines and line ranges.</t>
  </si>
  <si>
    <t>Define And Maintain GL Report Structure</t>
  </si>
  <si>
    <t>Generate GL Reports Online</t>
  </si>
  <si>
    <t>Set Up GL Reports For Batch Process</t>
  </si>
  <si>
    <t>Define Post Closing Periods</t>
  </si>
  <si>
    <t>This process is for inputting the adjustment entries affecting the Balance sheet and P&amp;L items after the closing period for EOM or EOY is completed. The adjustment entries are made for the previous accounting period.</t>
  </si>
  <si>
    <t>Maintain Year End Parameters</t>
  </si>
  <si>
    <t>Update General Ledger And Close Post Closing Period</t>
  </si>
  <si>
    <t>This process is for updating the general ledger on account of adjustment entries passed and closing the post closing period.</t>
  </si>
  <si>
    <t>9.1 Define And Maintain Condition Priorities</t>
  </si>
  <si>
    <t>Set Up Condition Priorities For Applications</t>
  </si>
  <si>
    <t>Set Up Parameters For Interest</t>
  </si>
  <si>
    <t>9.4 Define Risk Profiling Parameters For Customer</t>
  </si>
  <si>
    <t>Set Up And Maintain Risk Profiling Parameters</t>
  </si>
  <si>
    <t>Set Up Document Management Parameters</t>
  </si>
  <si>
    <t>Set Up Image Management Parameters</t>
  </si>
  <si>
    <t xml:space="preserve">Scoping </t>
  </si>
  <si>
    <t>Yes</t>
  </si>
  <si>
    <t>In Scope</t>
  </si>
  <si>
    <t>Scoping</t>
  </si>
  <si>
    <t>Treasury processes support a range of vanilla (FX, MM) as well as Derivative products (FRAs, SWAPS, CCY Swaps etc). Customer position analysis, formulation of trading strategy, trade initiation, execution and settlement etc. are covered.</t>
  </si>
  <si>
    <t>Processes for maintaining parameters relating to financial accounting, accounting rules, set up of general ledger and financial reporting.</t>
  </si>
  <si>
    <t>Security Management Processes</t>
  </si>
  <si>
    <t>Open Deposit (AA)</t>
  </si>
  <si>
    <t>The process begins with the receipt of cancellation of an outward remittance request from the customer. The application is received at the front office, which is forwarded to the back office for execution after due authentications.</t>
  </si>
  <si>
    <t>Maintain Trailer Fees</t>
  </si>
  <si>
    <t>Trailer fees details are captured for securities which are already recorded at issuer level.</t>
  </si>
  <si>
    <t>Reconcile Trailer Fees</t>
  </si>
  <si>
    <t>This process is carried out when securities of a specific issuer are unreconciled. The bank reconciles the fees manually after agreeing with the issuer on payment. The bank will also make appropriate changes to the commission tables, for future accruals and payments, if required.</t>
  </si>
  <si>
    <t>Recover Capital Gains Tax (Manual)</t>
  </si>
  <si>
    <t>Retrieve And Control Accounting Entries</t>
  </si>
  <si>
    <t>Process External Cheque (FCY)</t>
  </si>
  <si>
    <t>3.2.5 Cheque Administration</t>
  </si>
  <si>
    <t>The process describes the activities for accepting a foreign currency cheque from the Customer (either through the branch counter or through the drop box) and making the cheque available to back office for processing.</t>
  </si>
  <si>
    <t>The process begins with the receipt of a reversal request from the remitting bank for a remittance sent by them. The beneficiary/ customer is requested to provide approval for reversal before remitting back the funds.</t>
  </si>
  <si>
    <t>The cheques received from the branches are processed and presented for clearing. The bank sends the cheque for clearing through either Direct or Indirect method (depending upon the set up by Bank).</t>
  </si>
  <si>
    <t>This process begins when the Relationship Manager obtains all required documents from the customer. New customers will be recorded as prospects, before continuing with AML and KYC checks. In case of existing customers, checks are made to see if any KYC/AML updates are required. The Customer onboarding feature enables the user to choose the activity to be performed based on the status of the prospect/ Customer (existing or new).</t>
  </si>
  <si>
    <t>Build Portfolio</t>
  </si>
  <si>
    <t>Create Retail Customer (PW)</t>
  </si>
  <si>
    <t>Manage Customer Complaints (PW)</t>
  </si>
  <si>
    <t>Manage Customer Service Requests (PW)</t>
  </si>
  <si>
    <t>The process depicts the tasks involved in managing service requests coming in from the Customer through the Call centre.</t>
  </si>
  <si>
    <t>Release Documents Under Trust</t>
  </si>
  <si>
    <t>Settle Import LC Under Trust</t>
  </si>
  <si>
    <t>2.2.8 LC Reimbursement</t>
  </si>
  <si>
    <t>Register LC Reimbursement Authority</t>
  </si>
  <si>
    <t>Perform Reimbursement Authority Amendment</t>
  </si>
  <si>
    <t>Register And Pay Claim</t>
  </si>
  <si>
    <t>Process depicts activities for recording the acceptance particulars of the Issuing Bank and liquidating the LC Bill on receipt of funds.</t>
  </si>
  <si>
    <t>The process describes the activities to receive and advise Cancellation of Export LC to the exporter.</t>
  </si>
  <si>
    <t>Manage Loan Impairment</t>
  </si>
  <si>
    <t>Amend Provision</t>
  </si>
  <si>
    <t>Create Private Discretionary Internet Banking User</t>
  </si>
  <si>
    <t>Intermediary Internet banking user clients can be classified as Discretionary and Advisory internet banking users. This process describes the set up of private discretionary users.</t>
  </si>
  <si>
    <t>Intermediary private banking clients can be classified as advisory and discretionary internet banking users. This process describes the set up of private advisory users. A favourites list can be created for advisory users.</t>
  </si>
  <si>
    <t>Perform Bulk Order - Normal</t>
  </si>
  <si>
    <t>Perform Bulk Order (Service Run)</t>
  </si>
  <si>
    <t>Manage Third Party Custody Orders</t>
  </si>
  <si>
    <t>Manage Third Party Custody Trades</t>
  </si>
  <si>
    <t>The Trade execution desk will place the order in the market (manually or electronically), after the order is captured by an Investment Representative and placed on a dealer blotter. Once executed, the execution details are updated either manually or electronically via an incoming SWIFT message.</t>
  </si>
  <si>
    <t>Set Up Asset Structures</t>
  </si>
  <si>
    <t>Perform Third Party Asset Transfer In</t>
  </si>
  <si>
    <t>Deploy Funds For Mutual Fund (FMC)</t>
  </si>
  <si>
    <t>Create Arrangement Account</t>
  </si>
  <si>
    <t>Open Account (PW)</t>
  </si>
  <si>
    <t>The process describes various steps involved in account opening and account related services like capturing debit card details.</t>
  </si>
  <si>
    <t>Add Joint Holder To Account (PW)</t>
  </si>
  <si>
    <t>Amend Arrangement Account</t>
  </si>
  <si>
    <t>Amend Product Bundle</t>
  </si>
  <si>
    <t>Create Product Bundle</t>
  </si>
  <si>
    <t>Issue Cheque Book And Debit Card (PW)</t>
  </si>
  <si>
    <t>Perform Partial Withdrawal of Deposit (AA)</t>
  </si>
  <si>
    <t>This process relates to partial withdrawal of a deposit through account transfer using "LD module". (This module does not allow for cash withdrawal.)</t>
  </si>
  <si>
    <t>This process covers executing a Customer's request or an external/ internal request for setting/removing restrictions for posting. The restriction can be set either at the Customer level or at an account level.</t>
  </si>
  <si>
    <t>Stop Payment Of Cheque</t>
  </si>
  <si>
    <t>This process involves setting up a Stop payment for a cheque on receipt of a Customer request</t>
  </si>
  <si>
    <t>Update Passbook</t>
  </si>
  <si>
    <t>Execute FCY Exchange</t>
  </si>
  <si>
    <t>1.2.3 Teller Administration</t>
  </si>
  <si>
    <t>1.2.3.2 Till Transfer</t>
  </si>
  <si>
    <t>1.3.1 Personal Loan</t>
  </si>
  <si>
    <t>Check Eligibility (Personal Loan)</t>
  </si>
  <si>
    <t>This process begins with receipt of personal loan application from the front office and performing basic Customer and product eligibility checks.</t>
  </si>
  <si>
    <t>Perform External Credit Scoring (PL)</t>
  </si>
  <si>
    <t>Perform Internal Credit Scoring (PL)</t>
  </si>
  <si>
    <t>The process describes the various activities to perform an internal credit check and calculate credit score, for a personal loan.</t>
  </si>
  <si>
    <t>1.3.2 Auto Loan</t>
  </si>
  <si>
    <t>Process begins with receiving of auto loan application from the front office and performing basic Customer and product eligibility checks.</t>
  </si>
  <si>
    <t>Perform External Credit Scoring (AL)</t>
  </si>
  <si>
    <t>Perform Internal Credit Scoring (AL)</t>
  </si>
  <si>
    <t>The process describes the various steps to perform an internal credit check and calculate credit score, for a auto loan.</t>
  </si>
  <si>
    <t>1.3.3 Mortgage Loan</t>
  </si>
  <si>
    <t>Check Eligibility (Mortgage Loan)</t>
  </si>
  <si>
    <t>The process describes the activities involved in performing the basic Customer and product eligibility checks for a mortgage loan.</t>
  </si>
  <si>
    <t>Perform Full Approval (External Credit Scoring - ML)</t>
  </si>
  <si>
    <t>The process describes the various steps involved in performing an external credit check and calculation of credit score, for a mortgage loan.</t>
  </si>
  <si>
    <t>Perform Full Approval (Internal Credit Scoring - ML)</t>
  </si>
  <si>
    <t>The process describes the various steps in performing internal credit checks and calculating the credit score for a mortgage loan.</t>
  </si>
  <si>
    <t>Perform In-principle Approval (ML)</t>
  </si>
  <si>
    <t>The process describes the activities involved in providing in-principle approval considering the credit scores and eligibility checks for a mortgage loan.</t>
  </si>
  <si>
    <t>Perform Rate Review And Fixing</t>
  </si>
  <si>
    <t>Perform Reverse And Replay</t>
  </si>
  <si>
    <t>Register Direct Debit Mandate For Retail Loans (PW)</t>
  </si>
  <si>
    <t>Create Lending Prospect</t>
  </si>
  <si>
    <t>This process describes the activities for creation of a lending prospect. After the necessary checks, the prospect is created.</t>
  </si>
  <si>
    <t>This process describes the activities for disbursement of any type of retail loan, namely personal, auto or mortgage. The activities for subsequent drawdowns are also covered in this process.</t>
  </si>
  <si>
    <t>Receive Loan Application</t>
  </si>
  <si>
    <t>The process begins with the receipt of a completed loan application from the Customer. The application could be received for personal, auto or mortgage type of loan. The application is acknowledged at the front office and forwarded to the credit department for analysis and scoring.</t>
  </si>
  <si>
    <t>The process explain the steps involved in issuance of LCY draft at the teller counter. All necessary authentications are done before the draft is issued. The system updates the draft stock inventory upon issuance.</t>
  </si>
  <si>
    <t>Manage Receipt Of Draft Stock</t>
  </si>
  <si>
    <t>This process describes activities performed by a front office Customer Service Officer on receipt of draft inventory from Head Office.</t>
  </si>
  <si>
    <t>Perform Draft Encashment</t>
  </si>
  <si>
    <t>Process Cancellation Of Draft</t>
  </si>
  <si>
    <t>Process Stop Payment Of Draft</t>
  </si>
  <si>
    <t>Receive Request For Cancellation Of Draft</t>
  </si>
  <si>
    <t>Receive Request For Revocation Of Stop Payment Of LCY Draft</t>
  </si>
  <si>
    <t>Receive Request For Stop Payment Of Draft</t>
  </si>
  <si>
    <t>This process deals with Customer giving a request for stop payment of a draft. The front office validates the request and forwards it to the back office for effecting the stop payment.</t>
  </si>
  <si>
    <t>The process is initiated on receipt of the draft/ bankers' cheque request by the front office. The request is then forwarded to the back office for further processing.</t>
  </si>
  <si>
    <t>Revoke Stop Payment of LCY Draft</t>
  </si>
  <si>
    <t>Verify Funds Transfer Transaction Limits</t>
  </si>
  <si>
    <t>Execute Funds Transfer Through Bulk Upload</t>
  </si>
  <si>
    <t>This process helps the Customer view a list of payments scheduled for a future date and cancel them through internet banking.</t>
  </si>
  <si>
    <t>This process describes activities associated with deleting a beneficiary through internet banking. This can be an internal customer of the bank or an external beneficiary.</t>
  </si>
  <si>
    <t>This process deals with amending or cancelling the existing standing orders, through internet banking.</t>
  </si>
  <si>
    <t>Receive and Initiate FX Limit Order</t>
  </si>
  <si>
    <t>Define Bond Issue Program</t>
  </si>
  <si>
    <t>This process involves formulation of an appropriate bond strategy to issue a series of bonds, where the total issue takes places over a period of time and possibly in different currencies. The total value of the bond issue program is recorded by entering a liability commitment contract.</t>
  </si>
  <si>
    <t>Manage Bond Issue</t>
  </si>
  <si>
    <t>This process describes the activities associated with issue of bonds by the capital market department of a bank.</t>
  </si>
  <si>
    <t>Perform Bond Lending</t>
  </si>
  <si>
    <t>1.2.3.1 Till Administration</t>
  </si>
  <si>
    <t>Repay Financial Written-Off Loan</t>
  </si>
  <si>
    <t>6.1.1 Initiation</t>
  </si>
  <si>
    <t>Private Wealth
Management Processes</t>
  </si>
  <si>
    <t>Retail Banking
Processes</t>
  </si>
  <si>
    <t>Transactional
Processes</t>
  </si>
  <si>
    <t>Treasury
Processes</t>
  </si>
  <si>
    <t>Security Management
(SMS) Processes</t>
  </si>
  <si>
    <t>Security Management System (SMS) processes include setting up and maintenance of users and user related parameters in the system.</t>
  </si>
  <si>
    <t>Core Parameter
Processes</t>
  </si>
  <si>
    <t>CRM processes consist of customer on-boarding and associated processes such as KYC, AML and Campaign &amp; Contact Management. It also includes Call Centre processes.</t>
  </si>
  <si>
    <t>Transactional processes consist of Payments and Cheque Processing/ Clearing. These are normally performed at Back office as they are of high volume and operationally intensive in nature.</t>
  </si>
  <si>
    <t>Set PWM Alerts</t>
  </si>
  <si>
    <t>The process depicts the tasks involved in managing complaints from the customer through a dedicated process workflow.</t>
  </si>
  <si>
    <t>This process describes the exchange of FCY, using Teller application.</t>
  </si>
  <si>
    <t>Amend Deposit (AA)</t>
  </si>
  <si>
    <t>Create Facility (SL)</t>
  </si>
  <si>
    <t>Define Facility (SL)</t>
  </si>
  <si>
    <t>Collect Charges (SL)</t>
  </si>
  <si>
    <t>Perform Partial Prepayment (SL)</t>
  </si>
  <si>
    <t>Trade Loan In Secondary Market (SL)</t>
  </si>
  <si>
    <t>Merge Loans (SL)</t>
  </si>
  <si>
    <t>Split Loans (SL)</t>
  </si>
  <si>
    <t>Rollover Loan (SL)</t>
  </si>
  <si>
    <t>Adjust Over Dues (SL)</t>
  </si>
  <si>
    <t>This process depicts activities associated with setting up beneficiary information - which in turn facilitates auto population of beneficiary details while performing transactions in FT module (account to account transfer and outgoing payments).</t>
  </si>
  <si>
    <t>Receive Bulk Payment Request</t>
  </si>
  <si>
    <t>Perform Bulk Payment Validation</t>
  </si>
  <si>
    <t>Financial Accounting Parameter Processes</t>
  </si>
  <si>
    <t>Core Parameter Maintenance</t>
  </si>
  <si>
    <t>The process describes capturing bulk Forex deals information. The bulk order creates an order (in FX.ORDER) on authorisation.</t>
  </si>
  <si>
    <t>Corporate Banking Processes</t>
  </si>
  <si>
    <t>Corporate Banking</t>
  </si>
  <si>
    <t>Manage Customer Engagements (Corporate)</t>
  </si>
  <si>
    <t>Create Customer Record (Corporate)</t>
  </si>
  <si>
    <t>Manage Customer Engagements (PWM)</t>
  </si>
  <si>
    <t>Create Customer Record (PWM)</t>
  </si>
  <si>
    <t>0.3 Private Wealth Management Clients</t>
  </si>
  <si>
    <t>Check Eligibility (Auto Loan)</t>
  </si>
  <si>
    <t>Amend Deposit (LD)</t>
  </si>
  <si>
    <t>Amend Customer Details (Corporate)</t>
  </si>
  <si>
    <t>Amend Customer Charge (Corporate)</t>
  </si>
  <si>
    <t>Open Current Account - PW (Corporate)</t>
  </si>
  <si>
    <t>This process describes the opening of a current account (incl. mandates and issuing of a cheque book), using a PW process.</t>
  </si>
  <si>
    <t>Open Contract Based Deposit - PW (Corporate)</t>
  </si>
  <si>
    <t>2.1.3 Cash Management</t>
  </si>
  <si>
    <t>Cancel Deposit (LD)</t>
  </si>
  <si>
    <t>This process describes the receipt of a cancellation request for a deposit from the Customer and updating the same on the system.</t>
  </si>
  <si>
    <t>Amend Facility (SL)</t>
  </si>
  <si>
    <t>This process describes the amendment of an existing facility in SL.</t>
  </si>
  <si>
    <t>This process describes receiving and processing of a prepayment request to a Syndicated loan contract.</t>
  </si>
  <si>
    <t>Attach Limit To Overdraft Account (Corporate)</t>
  </si>
  <si>
    <t>2.3.7 Overdraft</t>
  </si>
  <si>
    <t>This process enables capturing of the overdue amount in unauthorised Overdraft Accounts/ Loans and others.</t>
  </si>
  <si>
    <t>This process describes activities for splitting a loan. On splitting, the entire outstanding of the loan will be split into two or more loans (with different maturity dates).</t>
  </si>
  <si>
    <t>The process describes activities to perform Past Due Write-off.</t>
  </si>
  <si>
    <t>This process describes the tasks involved in the processing of amendments received to an existing reimbursement authority.</t>
  </si>
  <si>
    <t>Manage Contacts (Retail)</t>
  </si>
  <si>
    <t>Amend Contacts (Retail)</t>
  </si>
  <si>
    <t>Generate Account Statements (Corporate)</t>
  </si>
  <si>
    <t>Generate Deposit Advices</t>
  </si>
  <si>
    <t>This process describes the cancellation of sweep set up for an account.</t>
  </si>
  <si>
    <t>Manage Debit Card (Corporate)</t>
  </si>
  <si>
    <t>Revoke Stop Payment Of Cheque (Corporate)</t>
  </si>
  <si>
    <t>Reset Inactive Account (Corporate)</t>
  </si>
  <si>
    <t>Amend Account (Corporate)</t>
  </si>
  <si>
    <t>This process describes how to change a Primary Customer for an Arrangement Account.</t>
  </si>
  <si>
    <t>Change Interest and Payment Schedule (AA)</t>
  </si>
  <si>
    <t>Close Account (Corporate)</t>
  </si>
  <si>
    <t>Pay Off Loan (Pre-Closure) (AA)</t>
  </si>
  <si>
    <t>This process is used to perform an early closure (pay off) of loan and also covers the delinking and release of a collateral, where applicable.</t>
  </si>
  <si>
    <t>1.2.0 Teller Financial Services</t>
  </si>
  <si>
    <t>Reverse Teller Financial Services Transactions</t>
  </si>
  <si>
    <t>Receive Travellers Cheque Encashment Request</t>
  </si>
  <si>
    <t>Execute Travellers Cheque Encashment</t>
  </si>
  <si>
    <t>Receive Travellers Cheque Sale Request</t>
  </si>
  <si>
    <t>Execute Travellers Cheque Sale</t>
  </si>
  <si>
    <t>Receive Request For FCY Exchange</t>
  </si>
  <si>
    <t>Manage Customer Contacts (Call Centre)</t>
  </si>
  <si>
    <t>The process describes Call Centre Agent's activities for managing customer contacts/ requests. It also includes Cross Selling Opportunities.</t>
  </si>
  <si>
    <t>The process describes the activities related to the maintenance of account specific conditions.</t>
  </si>
  <si>
    <t>The process describes the activities for recording new customer documents or amending existing customer documents.</t>
  </si>
  <si>
    <t>Manage Alerts</t>
  </si>
  <si>
    <t>Perform Customer Risk Profiling</t>
  </si>
  <si>
    <t>Set Up Global Constraints</t>
  </si>
  <si>
    <t>A dynamic model is created for a virtual customer. This model can then be used as the 'model' portfolio for modelling and rebalancing client portfolios.</t>
  </si>
  <si>
    <t>Create Dynamic Model</t>
  </si>
  <si>
    <t>Portfolio Positions will change when there are back valued transactions. This could be a back valued trade or transaction for the portfolio or a back dated Security price change or back dated exchange rate change. System can be parameterised to automatically update Cash or Security positions when back valued transactions occur and recalculate the performance.</t>
  </si>
  <si>
    <t>Comparable Buy and Sell Trades can be closed out either manually by specifying selection criteria or automatically by the System (if so parameterised). A close out record is created and upon authorisation, system automatically closes out the positions and generates the accounting entries.</t>
  </si>
  <si>
    <t>On maturity of futures contract or expiry of options contract, system would automatically mark the record as 'expire'. This process is for manually capturing the maturity of a futures contract or the expiry of an option contract.</t>
  </si>
  <si>
    <t>This process is used to remove the documents of title, certificates or any other miscellaneous valuable items deposited by the Bank's Customer.</t>
  </si>
  <si>
    <t>Perform Pre-Closure of Fiduciary Orders</t>
  </si>
  <si>
    <t>The process describes authorising of security trades for proprietary (own book) portfolios. After trade authorisation, system will post accounting entries and advices to Broker &amp; Custodian will be generated.</t>
  </si>
  <si>
    <t>The process describes authorising of security trades for FMC (fund management company) portfolios. After trade authorisation, system will post accounting entries and advices to Broker &amp; Custodian will be generated.</t>
  </si>
  <si>
    <t>Execute Settlement (FMC)</t>
  </si>
  <si>
    <t>Reverse Beneficiary</t>
  </si>
  <si>
    <t>Manage User Amendments (PWM Internet Banking)</t>
  </si>
  <si>
    <t>6.1.3 Administration</t>
  </si>
  <si>
    <t>This process describes the steps involved in initiating a payment to a registered beneficiary through internet banking.</t>
  </si>
  <si>
    <t>Orders initiated through internet banking can be modified in this process. Derivatives, Mutual funds and securities order can be modified or cancelled.</t>
  </si>
  <si>
    <t>The process describes the activities of Order Amendment/ Cancellation before the execution message (inward message) is received.</t>
  </si>
  <si>
    <t>This process is used to enter the documents of title, certificates or any other miscellaneous valuable items deposited by the Bank's Customer. Any entry made through this option will not be included in the Portfolio Valuation of the Customer. Collateral items, which may be stored in the Vault, can be controlled and monitored through this application.</t>
  </si>
  <si>
    <t>After the Customer portfolio is created and authenticated, Customer alert preferences are captured in the system. Based on this setup and occurrence if the event(s), Customer is sent appropriate alerts through the selected delivery channels.</t>
  </si>
  <si>
    <t>This process describes the activities to manage favourites as well as the placement of securities orders (based on favourites).</t>
  </si>
  <si>
    <t>This process describes the activities for a Private Wealth Internet Banking User to log in as well as to select the transactions to be performed.</t>
  </si>
  <si>
    <t>This process is for setting up the condition priority records and application wise general conditions for grouping Customers and Accounts.</t>
  </si>
  <si>
    <t>Once an investment strategy is defined, the Relationship Manager will generate all required documents, including model portfolios and a confirmation is sought from the client.</t>
  </si>
  <si>
    <t>Once all required background checks are completed the investment representative will perform MiFID risk profiling, wherever applicable, and investment risk profiling for the client in order to generate an investment proposal.</t>
  </si>
  <si>
    <t>Request for closure triggers a series of actions viz., marking of closure in customer's portfolio, collection of fees/ charges and transfer of assets from the client's account.</t>
  </si>
  <si>
    <t>The process describes the activity of capturing cheque book issue details and debit card issue details.</t>
  </si>
  <si>
    <t>Cancel Account Sweep</t>
  </si>
  <si>
    <t>Release Funds</t>
  </si>
  <si>
    <t>This process deals with releasing the blocked amounts.</t>
  </si>
  <si>
    <t>This process describes the activities associated with changing the status of an account from inactive to active.</t>
  </si>
  <si>
    <t>This process facilitates capture of information for all teller financial services (TFS) in one screen, creates a consolidated entry (if parameterised) on the Customer account, a consolidated charge and a consolidated transaction advice. It is also possible to capture all information in one screen of TFS and create separate entries in the Customer's account for each of them.</t>
  </si>
  <si>
    <t>This process facilitates reversal of all teller financial services (TFS), captured previously, in one screen. Also, a consolidated entry (if parameterised) on the Customer account, a consolidated charge and a consolidated transaction advice can be generated. It is also possible to create separate entries in the Customer's account for each of reversal.</t>
  </si>
  <si>
    <t>This process describes Foreign Currency Cash withdrawal from an account.</t>
  </si>
  <si>
    <t>This process describes activities associated with purchase of Travellers cheques from a Customer in exchange for local currency.</t>
  </si>
  <si>
    <t>This process involves carrying out physical authentication of Travellers Cheque received from a Customer.</t>
  </si>
  <si>
    <t>This process describes activities associated with sale of Travellers cheques to a Customer in exchange for local currency.</t>
  </si>
  <si>
    <t>Process for recording stock of Travellers Cheques on receipt from Head Office.</t>
  </si>
  <si>
    <t>This process deals with Cancellation of an issued Drafts based on Customer request.</t>
  </si>
  <si>
    <t>This process deals with Revoke a stopped draft based on Customer request.</t>
  </si>
  <si>
    <t>Stop Payment of LCY Draft</t>
  </si>
  <si>
    <t>This process deals with stop payment of an issued Drafts based on Customer request.</t>
  </si>
  <si>
    <t>Process describes the maintenance/ reversal of customer limits.</t>
  </si>
  <si>
    <t>Process for setting up Country level/ Industry level/ Currency level limit for monitoring the overall exposure of the Bank.</t>
  </si>
  <si>
    <t>The process describes the requests received from Customers at the front office for account to account transfers within the bank. The transactions are performed by the teller after making the necessary checks and authentications.</t>
  </si>
  <si>
    <t>This process describes the activities associated with the cancellation of a Direct Debit mandate (Inward/ Outward).</t>
  </si>
  <si>
    <t>This process represents system activities when a direct debit transaction is executed.</t>
  </si>
  <si>
    <t>This process highlights activities associated with the upload of a bulk file (credits or debits) by a Payment Officer received from the corporate customers. On successful upload the system creates master and individual records.</t>
  </si>
  <si>
    <t>An investment strategy or Model is created from an existing client Portfolio (or Dynamic Portfolio). The process describes selection of a Portfolio, based on which Strategy is defined. The system will generate the Strategy (Model) which is then linked to the Investment Strategy file and used to rebalance existing portfolios.</t>
  </si>
  <si>
    <t>Selected Portfolios are compared with a pre-defined Securities Strategy. On running the Comparison, system will generate a list of Portfolios that are in deviation. A rebalancing is then run to bring the Securities Position in sync with the Strategy.</t>
  </si>
  <si>
    <t>The portfolios are selected for what-if analysis and simulations are performed on the portfolios. This will help determine the scenarios in which a rebalancing may be required.</t>
  </si>
  <si>
    <t>This process allows manual rebalancing of Securities Positions of Portfolios. Portfolios which satisfy the selection criteria are rebalanced in one go. For securities that can be bought or sold or switched, the system creates a list of proposed orders and upon accepting the same, security orders are created to rebalance the portfolios.</t>
  </si>
  <si>
    <t>Portfolio performances can be compared to a defined Benchmark. To do this, a Benchmark is defined and then linked to a Portfolio.</t>
  </si>
  <si>
    <t>Portfolio Valuation can be viewed as a break-up of different segments. Segments need to be defined and while viewing the valuation, a segment ID can be given to display the details accordingly.</t>
  </si>
  <si>
    <t>Direct trades could be own book investments/ investments done for institutional clients/ investments done for the managed portfolio. This process describes the capture of a confirmed direct trade in the system.</t>
  </si>
  <si>
    <t>Periodically, holding with various custodians will need to be reconciled with statements sent by such custodians. This Process outlines the activities to be performed for such Stock reconciliation. It also includes processes for matching unmatched items.</t>
  </si>
  <si>
    <t>Receive the instructions for security transactions, check for client balance and limits for the transaction. FX rate is obtained from the Liaison desk to execute the deal.</t>
  </si>
  <si>
    <t>The request for asset transfer is checked and verified. The custodian is instructed to transfer by sending SWIFT messages.</t>
  </si>
  <si>
    <t>Positions can be transferred between two custodians. System lists the positions that will be transferred. (This can be amended subsequently)</t>
  </si>
  <si>
    <t>5.3.3 Securities Administration</t>
  </si>
  <si>
    <t>5.3.4 Derivatives Administration</t>
  </si>
  <si>
    <t>Maintain Derivative Prices</t>
  </si>
  <si>
    <t>5.3.5 Structured Product Administration</t>
  </si>
  <si>
    <t>5.3.6 Mutual Funds Administration</t>
  </si>
  <si>
    <t>Through this process the user can execute blocking/ unblocking of a customer portfolio/ mutual fund schemes/ lock amount from a customer's account.</t>
  </si>
  <si>
    <t>5.4.1 Order Initiation</t>
  </si>
  <si>
    <t>Once the trade is created, the deal is authorised and NAVs are allotted.</t>
  </si>
  <si>
    <t>The process covers the purchase or redemption requests received from its Agents by the FMC (fund management company). In this case, FMC is the bank and is buying and selling units through its agents.</t>
  </si>
  <si>
    <t>5.5.1 Order Initiation</t>
  </si>
  <si>
    <t>Customer's request to place a Fiduciary Order is captured in the system. The order can be placed through common order by the RM.</t>
  </si>
  <si>
    <t>This process depicts how the messages can be sent from the Bank (Department Account Officer) to the Internet user/ Customer and vice versa.</t>
  </si>
  <si>
    <t>This process describes the activities for a Private Wealth Internet Banking intermediary User to log in as well as to select the transactions to be performed.</t>
  </si>
  <si>
    <t>This process is for defining the End of Month post closing transaction codes and closing period. This process also describes the year end frequency dates to be parameterised.</t>
  </si>
  <si>
    <t>Once a Derivatives Trade (Own Book) is completed and verified, system automatically generates accounting entries and Trade confirmation advices.</t>
  </si>
  <si>
    <t>4.2 Securities (Own book)</t>
  </si>
  <si>
    <t>This process describes analysing the position, outstanding orders and market data to formulate trading strategy.</t>
  </si>
  <si>
    <t>Process describes the transfer of assets between dealer book portfolios. The positions are defined and transfer details are captured/ updated.</t>
  </si>
  <si>
    <t>This process describes the issue of cheque book to the Corporate customer, either as a part of the account opening process or on receipt of an ad hoc request.</t>
  </si>
  <si>
    <t>The process describes the steps associated with the opening of a Corporate Current account. Successful authorisation of account opening leads to other processes viz., image capture, initial deposit, issue of cheque book, set up Overdraft limit etc.</t>
  </si>
  <si>
    <t>This process describes how accounts can be linked into a hierarchical structure of individual groups. Each group consists of a main account to which other (sub accounts) can be linked.</t>
  </si>
  <si>
    <t>Create Sub Account (Notional Pooling)</t>
  </si>
  <si>
    <t>This process describes how each group consists of a main account to which other (sub accounts) can be linked. A main account in one group can be a sub account in another higher-level group.</t>
  </si>
  <si>
    <t>Execute Intra-Day Sweep (Transactional Pooling)</t>
  </si>
  <si>
    <t>Remove Sub Account from Notional Pooling</t>
  </si>
  <si>
    <t>Reverse a Sweep Transaction (Transactional Pooling)</t>
  </si>
  <si>
    <t>This process describes lodgement of documents received under a settled LC sight bill.</t>
  </si>
  <si>
    <t>The process describes activities for recording the acceptance from the Issuing Bank, for a bill negotiated under a Letter of Credit, and the subsequent liquidation of the Bill by the Negotiating Bank on receipt of funds in the Nostro account.</t>
  </si>
  <si>
    <t>The process describes the activities wherein the documents under LC which have been sent for acceptance/ collection (with discrepancies in documents) and subsequently discounted on receipt of acceptance.</t>
  </si>
  <si>
    <t>The process describes activities for lodging documents under Import collection (sight/ usance).</t>
  </si>
  <si>
    <t>The process depicts activities to issue a guarantee on receipt of a counter guarantee from another Bank.</t>
  </si>
  <si>
    <t>Activities for extending the maturity date of the Loan is described in this process.</t>
  </si>
  <si>
    <t>This process describes the activities for draw down from the facility.</t>
  </si>
  <si>
    <t>This process describes the activities relating to scheduled repayment to be executed automatically on due date by the system. The accounting entries are passed online and loan account is liquidated immediately.</t>
  </si>
  <si>
    <t>This process enables defining/ changing the liability Customer.</t>
  </si>
  <si>
    <t>Collateral details are recorded and linked to the limits already established.</t>
  </si>
  <si>
    <t>When customer sells stock short for speculation, he has to borrow the stock from the Market to make delivery to the purchaser. So, the Bank initiates Market Borrow which in turn will be borrowed by the client from his Bank.</t>
  </si>
  <si>
    <t>Manage Stock Borrow Lending</t>
  </si>
  <si>
    <t>The process describes the auto disbursement of loan amount at the time of creation and authorisation of arrangement by giving the payout settlement account.</t>
  </si>
  <si>
    <t>Perform Group Rebalancing</t>
  </si>
  <si>
    <t>Initiate Swaption Trade</t>
  </si>
  <si>
    <t>Expire Swaptions</t>
  </si>
  <si>
    <t>Settle Credit Default</t>
  </si>
  <si>
    <t>Expire Credit Default Swaps</t>
  </si>
  <si>
    <t>This process is for manually expiring Credit Default Swap terms. System creates a closeout record which has to be authorised.</t>
  </si>
  <si>
    <t>Set Up Agent Address</t>
  </si>
  <si>
    <t>4.9.1 Initiation</t>
  </si>
  <si>
    <t>This process depicts the activities associated with setting up of internal reconciliation accounts of the Bank, which are in the nature of own-book accounts.</t>
  </si>
  <si>
    <t>Reconcile Internal Account</t>
  </si>
  <si>
    <t>Set Up Withholding Tax</t>
  </si>
  <si>
    <t>Initiate CDS Trade</t>
  </si>
  <si>
    <t>Reinstate Expired Guarantee</t>
  </si>
  <si>
    <t>4.2.4 Administration</t>
  </si>
  <si>
    <t>5.1.1 Discretionary Asset Management</t>
  </si>
  <si>
    <t>Pay Utility Beneficiary (PWM Internet Banking)</t>
  </si>
  <si>
    <t>The process depicts the activities of recording the acceptance/ rejection message received from importer's Bank.</t>
  </si>
  <si>
    <t>Process describes activities to monitor payments for Export collection bill and settling the same on receipt of the payment.</t>
  </si>
  <si>
    <t>Manage Early Maturity (LD)</t>
  </si>
  <si>
    <t>This process deals with Customer giving a request for cancellation of a draft. The front office validates the request and forwards it to the back office for effecting the cancellation.</t>
  </si>
  <si>
    <t>The process begins with the receipt of a revocation of stop payment request of a LCY draft. Necessary validations are carried out before forwarding the request to back office for processing.</t>
  </si>
  <si>
    <t>The derivative prices are updated into the tables through external system's interface or manually updated.</t>
  </si>
  <si>
    <t>This process describes the GL structure to be adopted for Assets and Liabilities as well as Profit and Loss attributes of the bank.</t>
  </si>
  <si>
    <t>This process is for defining the GL report columns and range.</t>
  </si>
  <si>
    <t>This process is for defining the header details and format of entries to be included in the GL or PL report.</t>
  </si>
  <si>
    <t>This process is for defining the basic interest and periodic interest parameters.</t>
  </si>
  <si>
    <t>Private Wealth Management processes covers the full life cycle of discretionary wealth management - from Asset Allocation &amp; Portfolio Modeling, through Client Profiling, Maintenance/Review of portfolios, performance measurement and portfolio rebalancing. This process area also covers a range of processes related to Trading of Securities, Derivatives, Forex and Structured Products, as well as Mutual Funds, Fiduciary placements and administration processes such as Corporate Actions.</t>
  </si>
  <si>
    <t>Process Area</t>
  </si>
  <si>
    <t>No of Processes</t>
  </si>
  <si>
    <t>This process is for creating facility for the customer after the pre-syndication stage process is completed. User creates the facility and accounting entries are generated for the underwriting fees. Any reversal of pre-syndication can be done at this stage, before creation of facility.</t>
  </si>
  <si>
    <t>This process describes the activities involved for pre-disbursal of personal loan. The limits are set up and loan arrangement created after necessary checks.</t>
  </si>
  <si>
    <t>This process describes the activities involved for pre-disbursal of auto loan. The limits are set up and loan arrangement created after necessary checks.</t>
  </si>
  <si>
    <t>The process covers activities in Acceptance of Usance LC documents.</t>
  </si>
  <si>
    <t>The process describes activities to be undertaken in case Usance LC documents are discrepant. Discrepant documents, can be accepted with the discrepancies, accepted with conditions or rejected. Discrepant documents, upon a specific request from the Customer, can also be released on trust.</t>
  </si>
  <si>
    <t>The process describes capturing of Receivables details. The Receivables received from customer can be used for Discounting/ Collections/ Collateral.</t>
  </si>
  <si>
    <t>2.4.2 Operations</t>
  </si>
  <si>
    <t>On early maturity either cash or assets are transferred and necessary accounting entries are passed. This process also explains the rate refix process on due date for a floating rate Repo.</t>
  </si>
  <si>
    <t>Open Internal Reconciliation Account</t>
  </si>
  <si>
    <t>Execute and Complete Parent Child Orders</t>
  </si>
  <si>
    <t>Initiate Parent Child Orders</t>
  </si>
  <si>
    <t>Process SWIFT MX Messages</t>
  </si>
  <si>
    <t>Complete Parent Child Aggregation</t>
  </si>
  <si>
    <t>Manage Internal Borrowing</t>
  </si>
  <si>
    <t>Manage Internal Lending</t>
  </si>
  <si>
    <t>Manage Market Lending</t>
  </si>
  <si>
    <t>Process describes the activities related to account enquiries (incl. statements)</t>
  </si>
  <si>
    <t>Cancel Future Dated Payments (PWM Internet Banking)</t>
  </si>
  <si>
    <t>Delete Beneficiary (PWM Internet Banking)</t>
  </si>
  <si>
    <t>Enquire on Accounts (PWM Internet Banking)</t>
  </si>
  <si>
    <t>Initiate Derivatives Order (PWM Internet Banking)</t>
  </si>
  <si>
    <t>Initiate Mutual Funds Order (PWM Internet Banking)</t>
  </si>
  <si>
    <t>Initiate Portfolio Analysis (PWM Internet Banking)</t>
  </si>
  <si>
    <t>This process describes the different options for portfolio analysis, using pre-defined categories.</t>
  </si>
  <si>
    <t>Initiate Research Reports (PWM Internet Banking)</t>
  </si>
  <si>
    <t>Initiate Securities Order (PWM Internet Banking)</t>
  </si>
  <si>
    <t>Manage Alerts (PWM Internet Banking)</t>
  </si>
  <si>
    <t>Manage My Watchlist (PWM Internet Banking)</t>
  </si>
  <si>
    <t>Manage Portfolio Holdings (PWM Internet Banking)</t>
  </si>
  <si>
    <t>Manage Portfolio Valuations (PWM Internet Banking)</t>
  </si>
  <si>
    <t>Manage Standing Order (PWM Internet Banking)</t>
  </si>
  <si>
    <t>Pay Beneficiary (PWM Internet Banking)</t>
  </si>
  <si>
    <t>Set Up Beneficiary (PWM Internet Banking)</t>
  </si>
  <si>
    <t>This process describes activities associated with setting up a beneficiary. This can be an internal customer of the bank or an external beneficiary, which will result in beneficiary details being defaulted during payments.</t>
  </si>
  <si>
    <t>Set Up Standing Order (PWM Internet Banking)</t>
  </si>
  <si>
    <t>View Market Info (PWM Internet Banking)</t>
  </si>
  <si>
    <t>View Market Watch List (PWM Internet Banking)</t>
  </si>
  <si>
    <t>View Portfolio Fees (PWM Internet Banking)</t>
  </si>
  <si>
    <t>View Portfolio Performance (PWM Internet Banking)</t>
  </si>
  <si>
    <t>View Trades Today (PWM Internet Banking)</t>
  </si>
  <si>
    <t>Complete KYC Check (Corporate)</t>
  </si>
  <si>
    <t>Once the required background checks are completed, the user creates/ updates the customer record. All inputs in the system will be approved by a Supervisor. Subsequently, scanned documents are attached to the customer record. This process is repeated for all associated entities.</t>
  </si>
  <si>
    <t>Perform AML Check (Corporate)</t>
  </si>
  <si>
    <t>Manage Contacts (PWM)</t>
  </si>
  <si>
    <t>This process describes issue of cheque book to the customer either as a part of account opening process or on receipt of an ad hoc request.</t>
  </si>
  <si>
    <t>Open Discounted Deposit (AA)</t>
  </si>
  <si>
    <t>This process begins with receipt of request from the Customer for change in the account statement frequency. After authentication of the request, the request is updated in the system.</t>
  </si>
  <si>
    <t>This process describes how to change Debit/ Credit Interest and Interest Payment Frequency (Payment Schedule) for an Arrangement Account.</t>
  </si>
  <si>
    <t>Close Arrangement Account (AA)</t>
  </si>
  <si>
    <t>This process describes generation of an ad hoc deposit advice (AA).</t>
  </si>
  <si>
    <t>This process describes Debit card administration processes (cancellation/ return/ lost card reporting).</t>
  </si>
  <si>
    <t>Perform Repayment of Deposit (AA)</t>
  </si>
  <si>
    <t>1.1.4 Retail PW Processes</t>
  </si>
  <si>
    <t>1.1.3 Product Administration</t>
  </si>
  <si>
    <t>This process indicates the activities of a Branch User, to add a joint holder to an existing account.</t>
  </si>
  <si>
    <t>Financial institutions encourage agents for getting additional business apart from their direct marketing channel. Agent can be an individual or a group. The Process depicts the flow for creating an Arrangement for Agent. The arrangement determines commissions etc.</t>
  </si>
  <si>
    <t>Financial institutions and agents enter into a separate contract to agree on commission terms and conditions. In this view, there should be a separate arrangement between agents and financial institution. This is done by Linking the Agent Arrangement and Financial Arrangement which is described in this process workflow.</t>
  </si>
  <si>
    <t>Link Agent Arrangement with Financial Products</t>
  </si>
  <si>
    <t>This process is used to deposit Foreign Currency Cash into an account resulting in the generation of a transaction receipt.</t>
  </si>
  <si>
    <t>This process is used to deposit Local Currency Cash into an account resulting in the generation of a transaction receipt.</t>
  </si>
  <si>
    <t>This process is used to change Till to a different user/ teller.</t>
  </si>
  <si>
    <t>The process describes the various steps to perform an external credit check and calculate credit score, for a personal loan.</t>
  </si>
  <si>
    <t>This process describes the activities involved in attaching a limit to an account.</t>
  </si>
  <si>
    <t>This process describes the activities involved for setting up a Consumer loan (through AA Module) and the subsequent disbursement either through an account transfer or cash.</t>
  </si>
  <si>
    <t>This process describes the activities involved for setting up a Consumer loan (through AA Module) and the subsequent scheduled disbursement either through an account transfer or cash.</t>
  </si>
  <si>
    <t>This process indicates the activities involved when the Customer requests the bank to collect the loan repayment amount from the Customer's account with another bank and provides a mandate for the same to the retail credit officer. Based on the mandate stored, the bank can generate outward claim file.</t>
  </si>
  <si>
    <t>This process deals with receiving and executing instructions from a customer for repaying past due amount in a retail loan.</t>
  </si>
  <si>
    <t>This process explains the impact on AA bills when a loan repayment is made in advance.</t>
  </si>
  <si>
    <t>Process Collection Agreement</t>
  </si>
  <si>
    <t>Process Collection Items</t>
  </si>
  <si>
    <t>This process is to review the GL report lines and drill down to the contract/ accounts balances and accounting entries, wherever necessary.</t>
  </si>
  <si>
    <t>This process describes some activities to be completed before the year end processing begins</t>
  </si>
  <si>
    <t>Financial Accounting Parameter Maintenance Processes</t>
  </si>
  <si>
    <t>This process describes creation of a user record and attachment of pre-configured 'role based home page' to the user. The user so assigned with role based home page will be having access to the defined set of menus as available to the particular role.</t>
  </si>
  <si>
    <t>This process depicts the system activities while executing a standing order.</t>
  </si>
  <si>
    <t>This process deals with the validation and execution of account to account transfer requests received by the back office. Relevant SWIFT Messages will be generated as well.</t>
  </si>
  <si>
    <t>Execute Call Back - Cancellation of Credit Transfer (PP)</t>
  </si>
  <si>
    <t>Execute Inward Credit Transfer (PP)</t>
  </si>
  <si>
    <t>This process describes the activities for the execution of 'electronically' received credit transfer requests in favour of clients. The process also covers scenarios for 'hold for cover' and 'claims'.</t>
  </si>
  <si>
    <t>Execute Inward Credit transfer via Order Entry (PP)</t>
  </si>
  <si>
    <t>Execute Redirect Credit Transfer (PP)</t>
  </si>
  <si>
    <t>Receive Electronic Payment Instruction (Bulk Outward) (PP)</t>
  </si>
  <si>
    <t>The process describes the activities of receiving and validating electronic transfer requests (e.g. SWIFT). Based on the requests, the required type of transfer (e.g. Account to Account, Outward Remittance) will be determined.</t>
  </si>
  <si>
    <t>Receive Electronic Payment Instruction (Single Outward) (PP)</t>
  </si>
  <si>
    <t>This process deals with activities associated with external domestic cheque clearing. The balances are released based on the cheque clearance status. For cheques that are returned, accounting entries are reversed, before returning the physical cheque to the Customer.</t>
  </si>
  <si>
    <t>Process Cheque Clearing (Domestic)</t>
  </si>
  <si>
    <t>Verify External Cheque (Domestic)</t>
  </si>
  <si>
    <t>Receive External Cheque (Domestic)</t>
  </si>
  <si>
    <t>The process originates with the receipt of domestic external cheque (drawn on another bank) from the Customer, for collection into their account. The cheque may be deposited in person at the branches or dropped in a drop box. The branch forwards the cheque(s) to the back office for processing and clearing activities.</t>
  </si>
  <si>
    <t>Receive External Cheque (Outstation)</t>
  </si>
  <si>
    <t>Verify External Cheque (Outstation)</t>
  </si>
  <si>
    <t>Process Cheque Clearing (Outstation)</t>
  </si>
  <si>
    <t>The process originates with the receipt of Outstation external cheque (where the bank does not have a branch) from the Customer, for collection into their account. The cheque may be deposited in person at the branches or dropped in a drop box. The branch forwards the cheque(s) to the back office for processing &amp; collection.</t>
  </si>
  <si>
    <t>Process describes the activities for verifying the details of cheques presented for collection, capturing the details of foreign currency cheque, and authorisation of the cheque deposited.</t>
  </si>
  <si>
    <t>This process covers the creation of a derivatives exchange master. The details of the exchange/ market like description, address and the margins are captured here.</t>
  </si>
  <si>
    <t>This process involves verification of FRA deal details, settlements, authorisation and confirmation of FRA.</t>
  </si>
  <si>
    <t>This process involves contacting the counterparty and fixing the FRA settlement interest rate.</t>
  </si>
  <si>
    <t>This process describes the transfer of positions between dealers.</t>
  </si>
  <si>
    <t>This process involves formulation of an appropriate REPO/ RESO deal strategy after analysis of current position and market information.</t>
  </si>
  <si>
    <t>This process describes the settlement of REPO/RESO deals, posting of accounting entries and generation of SWIFT messages. On the repurchase date (maturity date) the system passes the necessary accounting entries and sends appropriate SWIFT messages for settlement of cash/ securities automatically.</t>
  </si>
  <si>
    <t>This Process is used for maintaining the reconciliation of Internal Accounts.</t>
  </si>
  <si>
    <t>This process is used execute the reconciliation of Internal Accounts.</t>
  </si>
  <si>
    <t>Asset allocation is a term used to refer to how an investor distributes his or her investments among various classes of investment vehicles. This Process describes defining asset allocation based on various parameters like investment strategy, regulatory restrictions etc.</t>
  </si>
  <si>
    <t>Process to setup various holding and transaction restrictions from inputs obtained from regulatory or compliance authorities, analysts etc.</t>
  </si>
  <si>
    <t>A Cash Model or Strategy is created. This is linked to the Investment Strategy file which is then used to rebalance the currency positions of existing portfolios.</t>
  </si>
  <si>
    <t>Selected Portfolios are compared with a pre-defined Currency Strategy. On running the Comparison, system will generate a list of Portfolios that are in deviation. A rebalancing is then run (the system generates Forex spot trades to balance) to bring the currency positions in sync with the Strategy.</t>
  </si>
  <si>
    <t>Service based Bulk Orders can be generated for Purchase, Sale and Multiple Switching of securities, through services running at the background. Specific selection criteria has to be specified should be based on the PERCENTAGE and NOMINAL fields, which will be executed on the selected Portfolios and generate the Orders. In the orders generated through SERVICE, the customer details will exist as individual transactions and it will be possible to amend the customer nominals in this application. Here, Auto Select field is set to SERVICE, system will generate/re-generate portfolios with suggested nominals to complete the order. The orders thus generated, has to be executed similar to that of normal Sec Open Orders.</t>
  </si>
  <si>
    <t>Portfolio valuation can be viewed in different ways by setting up suitable Hierarchy structures and using them while launching the valuation enquiries.</t>
  </si>
  <si>
    <t>On execution of a Securities Order, a Trade is created in the system. The Trade needs to be completed and authorised. Subsequently, if required, allocation instructions can be maintained manually. Completion and Authorisation of parent trade will automatically authorise child trades.</t>
  </si>
  <si>
    <t>After trade authorisation is completed, pre matching is performed by the system and the items parked in repair queue are either amended or taken up with counterparty for correction.</t>
  </si>
  <si>
    <t>Manage Lombard Lending</t>
  </si>
  <si>
    <t>This process describes the activities involved in lending to a Customer based on the holdings in Portfolio. Customer can avail this loan to buy more securities.</t>
  </si>
  <si>
    <t>Bank will initiate Internal Lending Transaction Based on the Lending Agreement with the customer.</t>
  </si>
  <si>
    <t>Manage Market Borrowing</t>
  </si>
  <si>
    <t>Stock Borrowing is always initiated to cover a short position (settlement coverage, naked shorting, market making, arbitrage) and to support a financing transaction motivated by the desire to lend cash, and to transfer ownership temporarily to the advantage of both lender and borrower.</t>
  </si>
  <si>
    <t>Request to Lend Nominals will be initiated by the Market. Based on the available Nominals and Lending Agreement, bank will initiate Internal Borrowing Transaction from the Customer and will lend externally to the other banks.</t>
  </si>
  <si>
    <t>An OTC Derivatives Contract Trade can be captured directly by the Trade Desk. These could be regular or Exotic contracts. For FXOTC contracts, contract class with contract type FXOTC to be used.</t>
  </si>
  <si>
    <t>A Swaption Trade can directly captured by Trading Desk. For Swaption contracts, underlying is always set to OTHER and contract class should have CONTRACT.TYPE set to SWAPTION. These could be regular or exotic contracts.</t>
  </si>
  <si>
    <t>Once confirmation is received that the order for an exchange traded contract is executed in the market, the number of lots executed will need to be filled by the Trade Desk. Each time an order is filled, a DX Trade record is created which then needs to be authorised.</t>
  </si>
  <si>
    <t>This process deals with authorisation of forex deal and confirmation matching associated with the deal.</t>
  </si>
  <si>
    <t>Bulk Transfer facilitates user to select multiple assets from portfolio holdings and initiate transfer out/in for all/specific position/s under single security transfer instruction. During the process, user can update Broker SSI details and select/ unselect the position to be transferred. System will automatically complete Security Transfer In/Out Transactions.</t>
  </si>
  <si>
    <t>This process explains the provision and framework to set Withholding taxes applicable on Securities.</t>
  </si>
  <si>
    <t>This process describes settlement of a trade (FMC). On trade authorization and once the advices and pre-matching is complete, system automatically checks for the type of settlement to be performed (actual vs contractual). On receipt of appropriate settlement confirmation from the depository/ custodian, trade is “settled” with the updation of cash and security positions.</t>
  </si>
  <si>
    <t>This process describes amendments to Fiduciary orders/ placements in case of a pre-closure request. Fixed orders can be pre-closed by changing the maturity date. Likewise amendments can be carried out on Notice orders by way of increase/ decrease of Principal or Full Closure.</t>
  </si>
  <si>
    <t>This process describes renewal of fiduciary orders. System allows for multiple renewal options - Auto (The order is available in Authorise status), Semi - INAU status and Manual - IHLD status.</t>
  </si>
  <si>
    <t>Manage Mandates (Corporate)</t>
  </si>
  <si>
    <t>Change Account Statement Frequency (Corporate)</t>
  </si>
  <si>
    <t>This process refers to premature closure of a deposit under "LD Module".</t>
  </si>
  <si>
    <t>This process involves setting up a Stop payment for a cheque on receipt of a Customer request.</t>
  </si>
  <si>
    <t>Process describes activities for cancellation of Import LC.</t>
  </si>
  <si>
    <t>This process describes the activities for creation of Import Loan. Initially, the Import LC Bill is paid by creating an overdraft and subsequently funded through Import Loan.</t>
  </si>
  <si>
    <t>The process covers activities to perform discounting of Usance LC Bill and remitting the funds to the exporter before maturity date of the Bill (after acceptance of the Bills by importer).</t>
  </si>
  <si>
    <t>The process describes activities to be undertaken in case Sight LC documents are discrepant. Discrepant documents, can be accepted with the discrepancies and sent for settlement or rejected. Discrepant documents, upon a specific request from the Customer, can also be released on trust.</t>
  </si>
  <si>
    <t>The process describes activities to issue an Import LC against the security of Export LC. In these cases the applicant of the import LC and the beneficiary under the export LC would be the same entity.</t>
  </si>
  <si>
    <t>The process covers approval and issuance of Import LC. Various Types of LCs viz., Sight, Usance, Negotiation, Mixed Payment (part sight and part Usance), Standby LCs can be issued.</t>
  </si>
  <si>
    <t>The process covers activities to be undertaken upon presentation of Mixed Payment LC documents. The documents are registered and checked for discrepancies. In case the documents are clean, then they are accepted and sent for settlement.</t>
  </si>
  <si>
    <t>The process covers activities to be undertaken upon presentation of Sight LC documents. The documents are registered and checked for discrepancies. In case the documents are clean, then they are accepted and sent for settlement.</t>
  </si>
  <si>
    <t>The process covers activities to be undertaken upon presentation of Usance LC documents. The documents are registered and checked for discrepancies. In case the documents are clean, then they are sent for usance acceptance.</t>
  </si>
  <si>
    <t>This process depicts release of documents under trust by the bank, where the bank at its discretion (considering the profile of the importer), may release the document prior to payment or acceptance of the document by the importer. Appropriate actions are performed based on Customer's acceptance or rejection.</t>
  </si>
  <si>
    <t>The process describes activities to receive and advise the export LC established by the issuing Bank. LC may be advised to the customer directly or through another Bank.</t>
  </si>
  <si>
    <t>The process depicts the activities to provide export packing credit or export loan if requested by the customer.</t>
  </si>
  <si>
    <t>Process describes recording of the acceptance received from importer and advising the exporter's Bank.</t>
  </si>
  <si>
    <t>The process describes activities for amendment requests received for export collection documents from the exporter.</t>
  </si>
  <si>
    <t>The process depicts activities to discount/ purchase Export Collection Bills which are already sent on collection.</t>
  </si>
  <si>
    <t>The process describes activities on receipt of documents from exporter for dispatch to importer's bank.</t>
  </si>
  <si>
    <t>The Process describes activities for liquidation of Export Collection Bills discounted/ purchased on receipt of payment from the importer's bank.</t>
  </si>
  <si>
    <t>Issue Shipping Guarantee Against Import Collection</t>
  </si>
  <si>
    <t>Process describes activities in case of a request from Importer for issue of shipping guarantee in lieu of Import Collection (which are yet to be received).</t>
  </si>
  <si>
    <t>The process describes the activities performed by a LC reimbursing bank on receipt of reimbursement advise from LC issuing banks. The reimbursement claim is captured in the system and an acknowledgement is sent out to the LC issuing bank.</t>
  </si>
  <si>
    <t>This process describes the activities for repayment of loan in tranches.</t>
  </si>
  <si>
    <t>Close Loan (LD)</t>
  </si>
  <si>
    <t>This process describes the blocking of automatic repayment of past dues. Normally, the system automatically retries at Close of Business till recovery of the entire due amount.</t>
  </si>
  <si>
    <t>This process describes the activities required to change interest rate/ spread for PD contracts.</t>
  </si>
  <si>
    <t>Process describes activities related to a Financial write-off. Under Financial write-off the entire outstanding is written off. Subsequent follow-up is possible.</t>
  </si>
  <si>
    <t>Process describes the activities for sub allocating limits between two limits of a Customer. The linking enables dynamic usage of the limits between the products.</t>
  </si>
  <si>
    <t>This process describes the settlement process for Receivables. The settlement can happen as full, partial or rebate on settlement.</t>
  </si>
  <si>
    <t>Amend Receivables Register</t>
  </si>
  <si>
    <t>Change Product Type (Receivables)</t>
  </si>
  <si>
    <t>This process describes the activities associated with management of rejected direct debit transactions. Items can be viewed and will then be cancelled.</t>
  </si>
  <si>
    <t>The process is initiated by a customer/ intermediary through internet banking for placing a MF order, the account balance is checked and blocked before the booking is performed.</t>
  </si>
  <si>
    <t>Manage Messages - Front Office (PWM Internet Banking)</t>
  </si>
  <si>
    <t>This process describes the activities view the current portfolio holdings. It is also possible to place orders based on the holdings (e.g. buy/ sell).</t>
  </si>
  <si>
    <t>This process describes the activities to view the current market valuation of the portfolio holdings.</t>
  </si>
  <si>
    <t>Process to view various stock market information.</t>
  </si>
  <si>
    <t>Process to view fees levied on the customer portfolio.</t>
  </si>
  <si>
    <t>This process describes the activities to show the portfolio performance. Portfolio performance can be shown by Month, Currency &amp; Sector.</t>
  </si>
  <si>
    <t>This process describes the activities to view the trades of the current day.</t>
  </si>
  <si>
    <t>Process to view/ download Portfolio statements.</t>
  </si>
  <si>
    <t>Activity of recording a mandate received from the borrower in the pre-syndication stage are described in this process. The details from the mandate like the amount requested, tenor are recorded.</t>
  </si>
  <si>
    <t>Activities involved in Underwriting the SL like Circulation of Info Memo to Underwriters, Recording the willingness of Underwriters and Finalisation on the Underwriting are described in this process.</t>
  </si>
  <si>
    <t>Maintain Customer Relationships</t>
  </si>
  <si>
    <t>Manage Documents</t>
  </si>
  <si>
    <t>Change Primary Customer (AA)</t>
  </si>
  <si>
    <t>Create New Reward Arrangement</t>
  </si>
  <si>
    <t>Link Reward Arrangement with Financial Products</t>
  </si>
  <si>
    <t>Create And Link Collateral</t>
  </si>
  <si>
    <t>Set Up Limit (Retail)</t>
  </si>
  <si>
    <t>Manage And Decide On Amendments (AA)</t>
  </si>
  <si>
    <t>Issue Cheque Book (Corporate)</t>
  </si>
  <si>
    <t>Issue Debit Card (Corporate)</t>
  </si>
  <si>
    <t>Open Current Account (Corporate)</t>
  </si>
  <si>
    <t>Open Contract Based Deposit (Corporate)</t>
  </si>
  <si>
    <t>Create Receivables Register</t>
  </si>
  <si>
    <t>This process deals with sending out the cancellation messages (MT192/MT292) for the outgoing payments sent earlier, free format messages (MT199/MT299) and answers (MT196/MT296) to the queries (MT195/MT295) raised by sending bank.</t>
  </si>
  <si>
    <t>Receive External Cheque (FCY)</t>
  </si>
  <si>
    <t>Treasury Processes</t>
  </si>
  <si>
    <t>This Process describes the order in which the Parameter tables is set for OTC Regulatory Reporting functionality.</t>
  </si>
  <si>
    <t>Private Wealth Management Processes</t>
  </si>
  <si>
    <t>Initiate Structured Note Trade</t>
  </si>
  <si>
    <t>Manage Structured Note Pay Out</t>
  </si>
  <si>
    <t>Manage Diary Event (Structured Product)</t>
  </si>
  <si>
    <t>Login to Private Wealth Internet Banking - Advisory</t>
  </si>
  <si>
    <t>Login to Private Wealth Internet Banking - Discretionary</t>
  </si>
  <si>
    <t>Login to Private Wealth Internet Banking - Intermediary</t>
  </si>
  <si>
    <t>SMS Processes</t>
  </si>
  <si>
    <t>Maintain Accounting Rules - Contract Based</t>
  </si>
  <si>
    <t>Core Parameter Maintenance Processes</t>
  </si>
  <si>
    <t>Define And Maintain Parameters For Tax</t>
  </si>
  <si>
    <t>Receive Request To Issue Draft *</t>
  </si>
  <si>
    <t>Create Product *</t>
  </si>
  <si>
    <t>Set Risk Management Limits *</t>
  </si>
  <si>
    <t>Reconcile Nostro Accounts *</t>
  </si>
  <si>
    <t>Create Derivatives Exchange Master *</t>
  </si>
  <si>
    <t>Create Derivatives Master *</t>
  </si>
  <si>
    <t>Create Security Master *</t>
  </si>
  <si>
    <t>Maintain Security Prices *</t>
  </si>
  <si>
    <t>Set Up Broker *</t>
  </si>
  <si>
    <t>Set Up Depository *</t>
  </si>
  <si>
    <t>Register Utility Beneficiary (PWM Internet Banking)</t>
  </si>
  <si>
    <t>Open Internal Account *</t>
  </si>
  <si>
    <t>This process describes initiation of funds transfer through internet banking by a PWM internet banking user.</t>
  </si>
  <si>
    <t>Manage Personal Payees (PWM Internet Banking)</t>
  </si>
  <si>
    <t>This process describes the Create, Edit and Delete the Personal Payees through internet banking by a PWM internet banking user.</t>
  </si>
  <si>
    <t>Manage Utility Payees (PWM Internet Banking)</t>
  </si>
  <si>
    <t>View Payments (PWM Internet Banking)</t>
  </si>
  <si>
    <t>This process describes View Payments (Pending Payments, Future Payments, STO) through internet banking by a PWM internet banking user.</t>
  </si>
  <si>
    <t>Create New Agent Arrangement</t>
  </si>
  <si>
    <t>Create Product Group *</t>
  </si>
  <si>
    <t>1.2.1.1 Cash Deposits</t>
  </si>
  <si>
    <t>1.2.1.2 Cash Withdrawals</t>
  </si>
  <si>
    <t>1.2.1.3 Currency Exchange</t>
  </si>
  <si>
    <t>2.1.1 Current Account</t>
  </si>
  <si>
    <t>3.2.2 External Cheques (Domestic)</t>
  </si>
  <si>
    <t>3.2.3 External Cheques (Outstation)</t>
  </si>
  <si>
    <t>3.2.4 External Cheques (Foreign Currency)</t>
  </si>
  <si>
    <t>4.1.2 Trade Initiation</t>
  </si>
  <si>
    <t>Execute Settlement (Forex) *</t>
  </si>
  <si>
    <t>5.4 Mutual funds</t>
  </si>
  <si>
    <t>5.4.5 Initiation (FMC)</t>
  </si>
  <si>
    <t>This process describes a loan contract closure carried out at the end of the term, when all instalments/ dues have been recovered. The delinking and release of collateral documents is covered in this process. In case any direct debit is set up for the liquidation of the loan, the system checks if it is an internal DD (for debiting an internal account) or an external DD (for raising the DD entries on the paying bank).</t>
  </si>
  <si>
    <t>Process describes activities to manage over dues in the SL Module.</t>
  </si>
  <si>
    <t>This process describes the activities relating to the management of over dues of a retail loan. Various activities could be performed viz., Adjust past due, write off past due, change repayment schedule, change penalty interest etc.</t>
  </si>
  <si>
    <t>This process describes the steps involved in cancellation of LCY/ FCY draft. Once a confirmation is obtained that the draft is unpaid, for a LCY draft, immediate cancellation can be done, whilst in case of a FCY draft, the same is carried out upon receipt of confirmation of stop payment from the Nostro correspondent, on whom the FCY draft was issued.</t>
  </si>
  <si>
    <t>Manage In-house Orders</t>
  </si>
  <si>
    <t>Process for maintaining the parameters relating to currency market, currency codes, department &amp; DAO codes, basic interest rates, and periodic interest rates such as LIBOR etc.</t>
  </si>
  <si>
    <t>Retail Banking Processes</t>
  </si>
  <si>
    <t>1.2.5 Common Processes</t>
  </si>
  <si>
    <t>1.3 Lending Processes</t>
  </si>
  <si>
    <t>2.3 Lending Processes</t>
  </si>
  <si>
    <t>5.1 Asset Management</t>
  </si>
  <si>
    <t>Create Model From Portfolio</t>
  </si>
  <si>
    <t>5.2 Trading</t>
  </si>
  <si>
    <t>5.2.4.2 Accumulators and Decumulators</t>
  </si>
  <si>
    <t>5.2.4.3 Interest Multiplier Facility</t>
  </si>
  <si>
    <t>Initiate Accumulators and Decumulators (SY)</t>
  </si>
  <si>
    <t>Initiate Interest Multiplier Facility (SY)</t>
  </si>
  <si>
    <t>Manage Processing of IMF (SY)</t>
  </si>
  <si>
    <t>5.2.4.4 FX Forwards and TARKO</t>
  </si>
  <si>
    <t>1.2.6 Drafts</t>
  </si>
  <si>
    <t>5.2.4.5 Digital Investments and Digital Paid Out</t>
  </si>
  <si>
    <t>Initiate Digital Investments and Digital Paid Out (SY)</t>
  </si>
  <si>
    <t>Manage Processing of Digital Investments and Digital Paid Out (SY)</t>
  </si>
  <si>
    <t>Execute Cost Payment (IF)</t>
  </si>
  <si>
    <t>Execute Down Payment (IF)</t>
  </si>
  <si>
    <t>Execute Retention Payment (IF)</t>
  </si>
  <si>
    <t>Execute Reviewer Payment (IF)</t>
  </si>
  <si>
    <t>Execute Vendor Payment (IF)</t>
  </si>
  <si>
    <t>The process describes the activities involved in Reviewer payment.</t>
  </si>
  <si>
    <t>The process describes the activities involved in Broker payment.</t>
  </si>
  <si>
    <t>Close Finance (IF)</t>
  </si>
  <si>
    <t>This process describes closure of a finance contract carried out at the end of the term, when all instalments/ dues have been recovered. The delinking and release of collateral documents is covered in this process. In case any direct debit is set up for the liquidation of the finance, the system checks if it is an internal DD (for debiting an internal account) or an external DD (for raising the DD entries on the paying bank).</t>
  </si>
  <si>
    <t>Manage And Decide On Amendments (IF)</t>
  </si>
  <si>
    <t>Manage Past Due (IF)</t>
  </si>
  <si>
    <t>Pay Off Finance (Pre-Closure) (IF)</t>
  </si>
  <si>
    <t>The process is used to perform an early closure (pay off) of a finance and also covers the delinking and release of a collateral, where applicable.</t>
  </si>
  <si>
    <t>Perform Repayment (IF)</t>
  </si>
  <si>
    <t>The process depicts activities related to repayment of an Islamic finance either through cash/ executed automatically by the system.</t>
  </si>
  <si>
    <t>Perform Reverse And Replay (IF)</t>
  </si>
  <si>
    <t>Register Direct Debit Mandate (IF)</t>
  </si>
  <si>
    <t>The process indicates the activities involved when the Customer requests the bank to collect the finance repayment amount from the Customer's account with another bank and provides a mandate for the same to the Islamic Credit Officer. Based on the mandate stored, the bank can generate outward claim file.</t>
  </si>
  <si>
    <t>Repay Past Due (IF)</t>
  </si>
  <si>
    <t>The process deals with receiving and executing instructions from a customer for repaying overdue amount in an Islamic Finance.</t>
  </si>
  <si>
    <t>Set Up Limit (IF)</t>
  </si>
  <si>
    <t>Initiate Customer Mass Block</t>
  </si>
  <si>
    <t>Initiate Customer Mass Unblock</t>
  </si>
  <si>
    <t>Islamic Banking Processes cover the work flow of Islamic model such as Asset Request, Approval and Purchase of Islamic Assets.  Further it covers the end-to-end processing of Asset / Commodity Sale under different products such as Fixed Profit, Variable Profit and Multi Structured. Also it covers the work flow of Vendor / Supplier Payment.</t>
  </si>
  <si>
    <t>This process is to mark Blocking for a Customer/ Group of Customers/ Accounts based on Customer/ Account criteria. Once the blocking is in place, this would be checked during transaction processing, which would then raise an override/ error (can be configured).</t>
  </si>
  <si>
    <t>This process allows user to view the collection &amp; document details and provide account details to debit and send any other response messages to bank user.</t>
  </si>
  <si>
    <t>Decide on Payment Types (IF)</t>
  </si>
  <si>
    <t>This process describes the various types of Payments involved in the Purchase of Asset/ Commodity.</t>
  </si>
  <si>
    <t>This process describes the Vendor Payment against each Purchase Contract.</t>
  </si>
  <si>
    <t>This process involves tracking the delivery of commodity and Unit wise selling of commodity to different customers.</t>
  </si>
  <si>
    <t>Process for receiving and executing the prepayment request from Customer.</t>
  </si>
  <si>
    <t>Perform Disbursement for Construction Finance (IF)</t>
  </si>
  <si>
    <t>This is a process for defining particulars of collateral and linking the collateral to a limit.</t>
  </si>
  <si>
    <t>This process deals with setting up a secured or unsecured limit for a Customer.</t>
  </si>
  <si>
    <t>View Future Cash flow (PWM Internet Banking)</t>
  </si>
  <si>
    <t>Process Upfront Payment Transactions</t>
  </si>
  <si>
    <t>Manage Commodity Delivery (IF)</t>
  </si>
  <si>
    <t>Manage Broker (IF)</t>
  </si>
  <si>
    <t>Manage Reviewer (IF)</t>
  </si>
  <si>
    <t>Manage Vendor (IF)</t>
  </si>
  <si>
    <t>Amend Payment Order</t>
  </si>
  <si>
    <t>This process describes the activities of amending a payment order by a bank user.</t>
  </si>
  <si>
    <t>This process allows user to view the collection &amp; document details, amendments list and provide account details to debit and send any other response messages to bank user.</t>
  </si>
  <si>
    <t>Open Safe Deposit Box (SDB)</t>
  </si>
  <si>
    <t>Close Safe Deposit Box (SDB)</t>
  </si>
  <si>
    <t>Receive File from Clearing (SEPA)</t>
  </si>
  <si>
    <t>Once the Customer portfolio is created, a further request can be placed to create a new portfolio of securities. Customer confirms the amount for which this portfolio needs to be built. Based on the amount and investment strategy, bank provides a basket of possible securities for Customer's portfolio. Once the basket of suggested securities is approved by the Customer, this portfolio is used by the bank to initiate and execute trade orders.</t>
  </si>
  <si>
    <t>The definition of a new Structured Product is done in this process. The product description, details and lifecycle are defined through this process.</t>
  </si>
  <si>
    <t>Process for maintaining parameters for Treasury based applications like MM, FX, FRA, SWAP, REPO etc.</t>
  </si>
  <si>
    <t>Initiate Wakala Finance (IF)</t>
  </si>
  <si>
    <t>This process describes Down Payment made by the Customer.</t>
  </si>
  <si>
    <t>This process is to Unblock for a Customer/ Group of Customers/ Accounts from the existing blocked ID's.</t>
  </si>
  <si>
    <t>This process highlights activities associated with receiving and validating a file from the clearing with different bulks (pacs.004, camt.056 etc.). It will split them in the different processes like Inward Credit Transfer to be processed or Inward remittance to be cancelled.</t>
  </si>
  <si>
    <t>Initiate Direct Trade (Derivatives)</t>
  </si>
  <si>
    <t>Manage Account Conditions (Corporate)</t>
  </si>
  <si>
    <t>Initiate Basket Option</t>
  </si>
  <si>
    <t>Initiate Packaged Option</t>
  </si>
  <si>
    <t>Manage Packaged Option</t>
  </si>
  <si>
    <t>5.6 Wealth Suite Processes</t>
  </si>
  <si>
    <t>5.6.1 Front office - PMS</t>
  </si>
  <si>
    <t>The allocate order function is applied to generate order details based on a selected method. Several methods are provided - after selecting the portfolios and a method, the user sets the parameters applicable for the method selected and for the instrument.</t>
  </si>
  <si>
    <t>The classification is a list of lists. It is applied into functions to classify the objects according to the list to which they belong.</t>
  </si>
  <si>
    <t>Create Portfolio List (TAP)</t>
  </si>
  <si>
    <t>Create Portfolio Model (TAP)</t>
  </si>
  <si>
    <t>Define Asset Allocation (TAP)</t>
  </si>
  <si>
    <t>This process outlines the capability to define a strategy based upon an asset class structure with investment objectives set for each level, including the ability to maintain a history of values.</t>
  </si>
  <si>
    <t>Maintain Security Recommendation (TAP)</t>
  </si>
  <si>
    <t>The recommendation list strategy is applicable to the definition of investment objectives at instrument level. It includes the ability to consider buy, sell, increase, decrease, neutral recommendations, in addition to the investment objective to reach.</t>
  </si>
  <si>
    <t>The investment proposal function includes a monitoring tool to track a proposal along all stages of its life cycle. It also includes functions to handle 4-Eyes Validation, creation of a new version of a proposal, management of the client acceptance or reject, and the releasing of orders for trading.</t>
  </si>
  <si>
    <t>This offers the capability to link the applicable strategy to a portfolio within financial function, for compliance check and performance analysis.</t>
  </si>
  <si>
    <t>Investment profiling is a process to define the best investment strategy applicable for a portfolio according to the scoring derived from the questionnaire defined to gather the profile and expectations of the client.</t>
  </si>
  <si>
    <t>Perform Rebalancing (TAP)</t>
  </si>
  <si>
    <t>The rebalancing function provides the ability to generate the orders required to resolve the deviation of the portfolio with its investment strategy and constraints.</t>
  </si>
  <si>
    <t>Set Up Modeling Constraints (TAP)</t>
  </si>
  <si>
    <t>Set Up Trading Constraints (TAP)</t>
  </si>
  <si>
    <t>Trading constraints offer the capability to define restrictions concerning orders. It is a script based constraint, and can be based on a template to ease the setting up for the end user.</t>
  </si>
  <si>
    <t>5.6.2 Securities</t>
  </si>
  <si>
    <t>The process describes the activities of Order Cancellation before the execution message (inward message) is received. TAP will display the cancellable orders.</t>
  </si>
  <si>
    <t>Direct trades could be investments done for institutional clients/ investments done for the managed portfolio. This process describes the capture of a confirmed direct trade in the system. TAP Position will be updated accordingly.</t>
  </si>
  <si>
    <t>Order Details are captured in TAP. Necessary compliance checks will be performed, before the order is released for order processing.</t>
  </si>
  <si>
    <t>5.6.3 Derivatives</t>
  </si>
  <si>
    <t>Once confirmation is received that the order for an exchange traded contract is executed in the market, the number of lots executed will need to be filled by the Trade Desk. Each time an order is filled, a DX Trade record is created which then needs to be authorised. The position/ transaction in TAP will be updated accordingly.</t>
  </si>
  <si>
    <t>Order Details for Buy/ Sell of an Exchange Traded Derivative are captured in TAP. Necessary compliance checks will be performed, before the order is released for order processing.</t>
  </si>
  <si>
    <t>On maturity of futures contract or expiry of options contract, system would automatically mark the record as 'expire'. This process is for manually capturing the maturity of a futures contract or the expiry of an option contract. The position will also be updated in TAP.</t>
  </si>
  <si>
    <t>5.6.4 FX</t>
  </si>
  <si>
    <t>The process describes activities involved in maintaining manual disbursement in Murabaha Finance.</t>
  </si>
  <si>
    <t>The process describes activities involved in maintaining Scheduled disbursement in Murabaha Finance.</t>
  </si>
  <si>
    <t>Create Murabaha Contract (IF)</t>
  </si>
  <si>
    <t>Initiate Murabaha Sale (IF)</t>
  </si>
  <si>
    <t>The process describes the process flow for initiating Murabaha sale.</t>
  </si>
  <si>
    <t>Receive Murabaha Finance Application (IF)</t>
  </si>
  <si>
    <t>The process deals with various activities associated with receipt of new financing request from a Customer and the processing of the application under Murabaha.</t>
  </si>
  <si>
    <t>The process describes activities involved in maintaining manual disbursement in Ijara Finance.</t>
  </si>
  <si>
    <t>The process describes activities involved in maintaining Scheduled disbursement in Ijara Finance.</t>
  </si>
  <si>
    <t>Create Ijara Contract (IF)</t>
  </si>
  <si>
    <t>Initiate Ijara Sale (IF)</t>
  </si>
  <si>
    <t>The process describes the process flow for initiating Ijara sale.</t>
  </si>
  <si>
    <t>Perform Ijara Contract Status Change (IF)</t>
  </si>
  <si>
    <t>Receive Ijara Finance Application (IF)</t>
  </si>
  <si>
    <t>The process deals with various activities associated with receipt of new financing request from a Customer and the processing of the application under Finance Ijara.</t>
  </si>
  <si>
    <t>Create Commodity Murabaha Contract (IF)</t>
  </si>
  <si>
    <t>Initiate Commodity Murabaha Sale (IF)</t>
  </si>
  <si>
    <t>The process describes the process flow for initiating Commodity Murabaha sale.</t>
  </si>
  <si>
    <t>Perform Commodity Murabaha Contract Status Change (IF)</t>
  </si>
  <si>
    <t>Receive Commodity Murabaha Finance Application (IF)</t>
  </si>
  <si>
    <t>The process deals with various activities associated with receipt of new financing request from a Customer and the processing of the application under Commodity Murabaha.</t>
  </si>
  <si>
    <t>The process describes activities involved in maintaining manual disbursement in Musharaka Finance.</t>
  </si>
  <si>
    <t>The process describes activities involved in maintaining scheduled disbursement in Diminishing Musharaka Finance.</t>
  </si>
  <si>
    <t>Create Diminishing Musharaka Contract (IF)</t>
  </si>
  <si>
    <t>Initiate Diminishing Musharaka Sale (IF)</t>
  </si>
  <si>
    <t>The process describes the process flow for initiating Musharaka sale.</t>
  </si>
  <si>
    <t>Perform Diminishing Musharaka Contract Status Change (IF)</t>
  </si>
  <si>
    <t>Receive Diminishing Musharaka Finance Application (IF)</t>
  </si>
  <si>
    <t>The process deals with various activities associated with receipt of new financing request from a Customer and the processing of the application under Musharaka.</t>
  </si>
  <si>
    <t>The process deals with various activities associated with receipt of new financing request from a Customer and the processing of the application under Mudaraba.</t>
  </si>
  <si>
    <t>The process describes activities involved in maintaining manual disbursement in Forward Ijara Finance.</t>
  </si>
  <si>
    <t>The process describes activities involved in maintaining scheduled disbursement in Forward Ijara Finance.</t>
  </si>
  <si>
    <t>Create Forward Ijara Contract (IF)</t>
  </si>
  <si>
    <t>The process describes the initiation into Forward Ijara Contract process work flow.</t>
  </si>
  <si>
    <t>Initiate Forward Ijara Sale (IF)</t>
  </si>
  <si>
    <t>The process describes the process flow for initiating Forward Ijara sale.</t>
  </si>
  <si>
    <t>Receive Forward Ijara Finance Application (IF)</t>
  </si>
  <si>
    <t>The process deals with various activities associated with receipt of new financing request from a Customer and the processing of the application under Forward Ijara.</t>
  </si>
  <si>
    <t>Amend Construction Finance Contract (IF)</t>
  </si>
  <si>
    <t>The process describes activities related to amendments in the finance product Construction Finance.</t>
  </si>
  <si>
    <t>Create Construction Finance Arrangement (IF)</t>
  </si>
  <si>
    <t>Initiate Construction Finance Sale (IF)</t>
  </si>
  <si>
    <t>The process describes the process flow for initiating Construction Finance sale.</t>
  </si>
  <si>
    <t>The process deals with the disbursement of funds for Construction Finance.</t>
  </si>
  <si>
    <t>Receive Construction Finance Application (IF)</t>
  </si>
  <si>
    <t>The process deals with various activities associated with receipt of new financing request from a Customer and the processing of the application under Construction Finance.</t>
  </si>
  <si>
    <t>The process describes activities involved in maintaining manual disbursement in Qard Hassan Loan.</t>
  </si>
  <si>
    <t>The process describes activities involved in maintaining Scheduled disbursement in Qard Hassan Finance.</t>
  </si>
  <si>
    <t>Receive Qard Hassan Finance Application (IF)</t>
  </si>
  <si>
    <t>The process deals with various activities associated with receipt of new Loan request from a Customer and the processing of the application under Qard Hassan.</t>
  </si>
  <si>
    <t>Create Baisalam Contract (IF)</t>
  </si>
  <si>
    <t>Initiate Baisalam Sale (IF)</t>
  </si>
  <si>
    <t>Receive Baisalam Finance Application (IF)</t>
  </si>
  <si>
    <t>The process describes activities involved in maintaining manual disbursement in Wakala Finance.</t>
  </si>
  <si>
    <t>The process describes activities involved in maintaining Scheduled disbursement in Wakala Finance.</t>
  </si>
  <si>
    <t>Create Musawama Contract (IF)</t>
  </si>
  <si>
    <t>Initiate Musawama Sale (IF)</t>
  </si>
  <si>
    <t>The process describes the process flow for initiating Musawama Finance.</t>
  </si>
  <si>
    <t>The process describes the process flow for disbursement of Finance under Wakala Finance.</t>
  </si>
  <si>
    <t>Perform Musawama Contract Status Change (IF)</t>
  </si>
  <si>
    <t>Receive Wakala Musawama Finance Application (IF)</t>
  </si>
  <si>
    <t>The process deals with various activities associated with receipt of new financing request from a Customer and the processing of the application under Wakala Musawama.</t>
  </si>
  <si>
    <t>Forward Ijara down payment settlement (IF)</t>
  </si>
  <si>
    <t>The process describes activities involved in maintaining manual disbursement in Baisalam.</t>
  </si>
  <si>
    <t>The process describes activities involved in maintaining scheduled disbursement in Baisalam.</t>
  </si>
  <si>
    <t>The process describes the process flow for initiating Baisalam sale.</t>
  </si>
  <si>
    <t>The process deals with various activities associated with receipt of new financing request from a Customer and the processing of the application under Baisalam.</t>
  </si>
  <si>
    <t>The process describes activities involved in creating Musawama Finance (Manual)</t>
  </si>
  <si>
    <t>The process describes activities involved in creating Musawama Finance (Scheduled)</t>
  </si>
  <si>
    <t>The process begins with the receipt of a completed finance application from the Customer. The application could be received for named/ quantified Asset. The application is acknowledged at the front office and forwarded to the credit department for capturing collateral details and setting up limit. Asset details are captured and approved for purchase of Asset/ Commodity.</t>
  </si>
  <si>
    <t>This process is used to purchase the approved asset from the Vendor. The contract workflow status is modified from "Approval" to "Purchase".</t>
  </si>
  <si>
    <t>This product will work based upon the concept of Project finance. In project finance, the requested asset may not be readily available. The bank/ customer will appoint the manufacturer to produce the goods, the customer and bank will agree to go for finance after completion of manufacturing the asset. The process begins with the receipt of a completed finance application from the Customer. It is acknowledged at the front office and forwarded to the credit department for capturing collateral details and setting up limit. Asset details are captured and approved for purchase of Asset.</t>
  </si>
  <si>
    <t>Execute Broker Settlement (IF)</t>
  </si>
  <si>
    <t>3.3 Payment Hub</t>
  </si>
  <si>
    <t>This process deals with activities associated with execution of an inward remittance. The credit can either be received in the Vostro account (foreign bank maintaining the account with us) or in the Nostro account (we maintain an account with the foreign bank). This process requires manual order entry in TPS.</t>
  </si>
  <si>
    <t>This process allows user to send cancellation requests for already processed outward remittances. User can send a cancellation request in the form of MT192, MT195 or MT199 as per operational procedure. Once the response is received from Beneficiary Bank, user can reverse the payment in the hub.</t>
  </si>
  <si>
    <t>Islamic Banking Processes</t>
  </si>
  <si>
    <t>Online Channels
Processes</t>
  </si>
  <si>
    <t>Online Channels Processes</t>
  </si>
  <si>
    <t>6.2 Online Channels Retail Processes</t>
  </si>
  <si>
    <t>Initiate Stop Payment of Cheque (Online Channels Retail)</t>
  </si>
  <si>
    <t>This process describes steps involved in initiating a request for stop payment of cheque through Online Channels.</t>
  </si>
  <si>
    <t>Manage Alerts (Online Channels Retail)</t>
  </si>
  <si>
    <t>Manage Customer Travel Details</t>
  </si>
  <si>
    <t>Create New Account (Online Channels Retail)</t>
  </si>
  <si>
    <t>Initiate Bundle Arrangement Block</t>
  </si>
  <si>
    <t>This process is to Block a Bundle Arrangement. Blocking a Bundle Arrangement will block its corresponding Currency Top Accounts. Once blocking is in place, this would be checked during transaction processing, which would then raise an override/ error (can be configured).</t>
  </si>
  <si>
    <t>Initiate Bundle Arrangement Unblock</t>
  </si>
  <si>
    <t>This process explains Unblocking of blocked Bundle Arrangement along with its corresponding Currency Top Accounts.</t>
  </si>
  <si>
    <t>This process is to Amend/ Reverse the existing blocked Customer/ Group of Customers/ Accounts/ Bundle Arrangements along with its corresponding Currency Top Accounts.</t>
  </si>
  <si>
    <t>Cancel Direct Debit (Online Channels Retail)</t>
  </si>
  <si>
    <t>Manage Messages (Online Channels Retail)</t>
  </si>
  <si>
    <t>Manage Standing Order (Online Channels Retail)</t>
  </si>
  <si>
    <t>This process describes the activities associated with the cancellation of a Direct Debit mandate through online channels (Inward/Outward).</t>
  </si>
  <si>
    <t>This process deals with amending or cancelling the existing standing orders through online channels.</t>
  </si>
  <si>
    <t>This process describes the activities to view accounts, account details, recent transactions and to print/ download the transaction details.</t>
  </si>
  <si>
    <t>Set Up Standing Order (Online Channels Retail)</t>
  </si>
  <si>
    <t>Manage Payees (Online Channels Retail)</t>
  </si>
  <si>
    <t>Initiate Payment Order (Online Channels Retail)</t>
  </si>
  <si>
    <t>Initiate Quick Pay (Online Channels Retail)</t>
  </si>
  <si>
    <t>This process describes the feature of Immediate Payment in Payment Order. This will allow user to choose payment method if the beneficiary has more than one payment method and user can choose different currency from the default one.</t>
  </si>
  <si>
    <t>Create Term Deposit (Online Channels Retail)</t>
  </si>
  <si>
    <t>Manage Term Deposits (Online Channels Retail)</t>
  </si>
  <si>
    <t>Manage Loans (Online Channels Retail)</t>
  </si>
  <si>
    <t>This process describes the various actions that can be taken upon receipt of secure messages from the Bank by the User using Online Channels.</t>
  </si>
  <si>
    <t>This process describes the steps involved in subscribing/ unsubscribing an alert through Online Channels.</t>
  </si>
  <si>
    <t>Create Online Channels Retail User</t>
  </si>
  <si>
    <t>This process describes activities associated with the creation of a retail online channels user id. As part of this process, a new arrangement ID is created first, where details of accounts and products the Retail user will have access to is defined. This is followed by creation of channel permission. Finally, external user ID is created by linking the Customer number to the arrangement ID.</t>
  </si>
  <si>
    <t>Manage User Amendments (Online Channels Retail)</t>
  </si>
  <si>
    <t>Perform Amendments To User Profile (Online Channels Retail)</t>
  </si>
  <si>
    <t>Search Personal Data</t>
  </si>
  <si>
    <t>The process identifies activities associated with the settlement of the foreign currency cheque. Based on the cheque clearance status, identified from the Nostro statement, the balances are released/ returned.</t>
  </si>
  <si>
    <t>Manage Rights to Personal Data</t>
  </si>
  <si>
    <t>6.1 User Management - Online Channels Processes</t>
  </si>
  <si>
    <t>Create Online Channels Corporate User</t>
  </si>
  <si>
    <t>This process describes activities associated with receipt of an Online Channels request from an existing Retail/ Corporate or an Intermediary customer. Validations are carried out on the request and appropriate customer category identified, before creation of the user id in the system.</t>
  </si>
  <si>
    <t>Manage User Amendments (Online Channels Corporate)</t>
  </si>
  <si>
    <t>Initiate Self Registration (Online Channels)</t>
  </si>
  <si>
    <t>This process deals with the initiation of request for the new Online Channels access by an existing customer, through self registration.</t>
  </si>
  <si>
    <t>Login to Online Channels Corporate</t>
  </si>
  <si>
    <t>This process describes the activities for a Online Channels Corporate User/ Supervisor to log in as well as to select the transactions to be performed.</t>
  </si>
  <si>
    <t>Execute Direct Debit (Online Channels Corporate)</t>
  </si>
  <si>
    <t>Initiate Stop Payment Of Cheque (Online Channels Corporate)</t>
  </si>
  <si>
    <t>Set Up Sweep (Online Channels Corporate)</t>
  </si>
  <si>
    <t>Initiate Import LC Issue (Online Channels Corporate)</t>
  </si>
  <si>
    <t>Manage Direct Debit Mandates (Online Channels Corporate)</t>
  </si>
  <si>
    <t>Perform Bulk Upload (Online Channels Corporate)</t>
  </si>
  <si>
    <t>This process highlights activities associated with the upload of a bulk file (credits or debits) by a Online Channels Corporate user. On successful upload the system creates master and individual records.</t>
  </si>
  <si>
    <t>Perform Bulk Payment Amendment (Online Channels Corporate)</t>
  </si>
  <si>
    <t>Manage Account Sweep (Online Channels Corporate)</t>
  </si>
  <si>
    <t>Manage Standing Order (Online Channels Corporate)</t>
  </si>
  <si>
    <t>Manage Rejected Direct Debit Transactions (Online Channels Corporate)</t>
  </si>
  <si>
    <t>Manage Messages - RM (Online Channels Corporate)</t>
  </si>
  <si>
    <t>Initiate Guarantee Amendments (Online Channels Corporate)</t>
  </si>
  <si>
    <t>Initiate Guarantee Issuance Request (Online Channels Corporate)</t>
  </si>
  <si>
    <t>This process describes the activities of Initiating a Guarantee Issuance Request by a Online Channels Corporate User.</t>
  </si>
  <si>
    <t>Manage Account Groups (Online Channels Corporate)</t>
  </si>
  <si>
    <t>Manage Claims Received (Online Channels Corporate)</t>
  </si>
  <si>
    <t>This process describes the activities of viewing the received Claims successfully by the Online Channels Corporate User.</t>
  </si>
  <si>
    <t>Manage Import LC Drawings (Online Channels Corporate)</t>
  </si>
  <si>
    <t>This process describes the activities of Waiving or Rejecting an Import LC drawings by the Online Channels Corporate User.</t>
  </si>
  <si>
    <t>Manage Request and Response (Online Channels Corporate)</t>
  </si>
  <si>
    <t>Perform Import LC Amendments (Online Channels Corporate)</t>
  </si>
  <si>
    <t>This process describes the activities of accepting or rejecting the amendments of an Export LC by a Online Channels Corporate User.</t>
  </si>
  <si>
    <t>View Export LC issued (Online Channels Corporate)</t>
  </si>
  <si>
    <t>View Guarantees Received (Online Channels Corporate)</t>
  </si>
  <si>
    <t>This process describes the activities of viewing the Guarantees Received by a Online Channels Corporate User.</t>
  </si>
  <si>
    <t>Initiate Cheque Book Request (Online Channels Corporate)</t>
  </si>
  <si>
    <t>Manage Outward Collections (Online Channels Corporate)</t>
  </si>
  <si>
    <t>Initiate Outward Collections (Online Channels Corporate)</t>
  </si>
  <si>
    <t>Manage Claims Under Guarantee (Online Channels Corporate)</t>
  </si>
  <si>
    <t>Lodge Claim Under Guarantee (Online Channels Corporate)</t>
  </si>
  <si>
    <t>Manage Import Collections (Online Channels Corporate)</t>
  </si>
  <si>
    <t>This process describes the activities of an user responding bank by accepting or rejecting the claims and also can view the listed claims through Online Channels.</t>
  </si>
  <si>
    <t>6.3 Online Channels Corporate Processes</t>
  </si>
  <si>
    <t>Manage Messages (Online Channels Admin)</t>
  </si>
  <si>
    <t>This process deals with managing the messages of Customer Service Agent. This includes messages received from Customer, replying to the message &amp; composing a new message to Online Channels Customer.</t>
  </si>
  <si>
    <t>This process deals with the execution of funds transfer requests originated through Online Channels.</t>
  </si>
  <si>
    <t>This process details the various types of debit payments to be effected through upload from Online Channels viz., internal account debit or sending out a direct debit claim file to an external bank.</t>
  </si>
  <si>
    <t>This process covers the initiation of an Import LC by the Customer through Online Channels. The system automatically checks for availability of limits and upon successful verification, routes the transaction to a bank user's queue for further processing.</t>
  </si>
  <si>
    <t>This process describes all the amendments that an Online Channels user can perform. Modifications can be done until processing date of the payments is reached.</t>
  </si>
  <si>
    <t>This process depicts how the messages can be sent from the Bank (Department Account Officer) to the Online Channels user/ Customer and vice versa.</t>
  </si>
  <si>
    <t>This process deals with the initiation of new cheque book request through Online Channels by any existing user.</t>
  </si>
  <si>
    <t>This process deals with amending or cancelling the existing standing orders, through Online Channels.</t>
  </si>
  <si>
    <t>This process describes the steps taken by a Corporate Customer in setting up various types of standing orders through Online Channels.</t>
  </si>
  <si>
    <t>The Process describes the activities of Amending a Guarantee (Issued) by a Online Channels Corporate User.</t>
  </si>
  <si>
    <t>Process depicts activities to receive &amp; verify LC application, check if existing facilities are sufficient to fulfil request and forwarding the application to Back Office for processing. This process also covers an online input of LC details by the Customer through Online Channels and the subsequent submission of documents at the branch.</t>
  </si>
  <si>
    <t>Execute Inward Credit Transfer (Instant)</t>
  </si>
  <si>
    <t>Initiate Cancellation Requests (Instant)</t>
  </si>
  <si>
    <t>This process describes capturing the response from Clearing to cancellation request sent and processing the cancellation based on the response received.</t>
  </si>
  <si>
    <t>This process describes the activities involved in execution of Instant Payments. In case of Direct Participant the funds will be credited to the beneficiary account if not the request will be forwarded to Indirect Participant.</t>
  </si>
  <si>
    <t>Execute Cancellation Request from Indirect Participant (Instant)</t>
  </si>
  <si>
    <t>Execute Cancellation Request from Clearing (Instant)</t>
  </si>
  <si>
    <t>This process describes the activities involved in receiving messages, validating and processing the messages received.</t>
  </si>
  <si>
    <t>Receive and Validate Messages (Instant)</t>
  </si>
  <si>
    <t>This process describes the activities involved in receiving an investigation message, investigating and responding with the payment status.</t>
  </si>
  <si>
    <t>Maintain Holding Constraints (TAP)</t>
  </si>
  <si>
    <t>Create Construction Finance Contract (IF)</t>
  </si>
  <si>
    <t>Create Strategy From Existing Portfolio (TAP)</t>
  </si>
  <si>
    <t>Login to Online Channels Retail</t>
  </si>
  <si>
    <t>Manage Payees (Online Channels Corporate)</t>
  </si>
  <si>
    <t>Manage Prepayment (IF)</t>
  </si>
  <si>
    <t>Manage Strategy Links For Portfolios (TAP)</t>
  </si>
  <si>
    <t>This process provides option to the Corporate Online Channels users to compose and send messages, reply to messages through the email feature of Online Channels.</t>
  </si>
  <si>
    <t>The process depicts the activities at the back office for processing the internal cheques. Necessary checks are done before processing the cheques. Cheque payment is done via Teller and cheque register is checked/ updated.</t>
  </si>
  <si>
    <t>Receive and Process Inward Cheque Clearing</t>
  </si>
  <si>
    <t>The process begins with the receipt of internal cheque at the back office for verification. The back office team ensures that the request is complete and all the checks are performed, before processing the transfer.</t>
  </si>
  <si>
    <t>Define Personal Data</t>
  </si>
  <si>
    <t>Investment Representative decides on the type of restrictions to be set (Holding/ Transaction restriction) by inputting the appropriate portfolio restrictions.</t>
  </si>
  <si>
    <t>This process describes activities associated with setting up a Nostro account.</t>
  </si>
  <si>
    <t>This process describes activities associated with setting up a Vostro account.</t>
  </si>
  <si>
    <t>Based on the parameter setting, MT942 can be generated for the transactions processed in the account. This may contain transactions happened during the day or from the last statement generated time, or can be filtered based on the amount of transaction, as per setup.</t>
  </si>
  <si>
    <t>This process describes the steps involved in amending Customer Travel details. Travel notifications are marked as expired and moved to history automatically on reaching the travel end date. Unexpired Travel notifications can be manually cancelled and moved to history.</t>
  </si>
  <si>
    <t>This process describes the steps involved in capturing Customer Travel plans. Travel details like place of travel, time of travel, purpose of travel are captured to help in internal decision making. Customer Travel details are taken into consideration while arriving at marketing strategies, offering suitable product and services to the customers.</t>
  </si>
  <si>
    <t>Campaign proposals are drafted/ approved and captured. Campaigns can be outbound using defined delivery channels or inbound in which case only opportunities are generated. Opportunities that are accepted will trigger pre-defined workflows that the user will execute.</t>
  </si>
  <si>
    <t>This process carries out customer requests to amend customer related data viz., change customer details or add/ remove additional addresses, registering Deceased customer details like date when the customer died, the date when the bank is notified about the death and date of granting Probate. It also covers the "termination" of a customer relationship (change of status to 51).</t>
  </si>
  <si>
    <t>Execute Buy FCY Against LCY Cash</t>
  </si>
  <si>
    <t>Revoke Stop Payment Of Cheque</t>
  </si>
  <si>
    <t>The process details out the tasks involved in amending the product bundle created for a Customer.</t>
  </si>
  <si>
    <t>A Rewards product line is established, whereby customers can be rewarded based on the activities they perform on their account.</t>
  </si>
  <si>
    <t>This process involves evaluating the available cash position in vault and deciding on the further course of action, viz., (1) Cash required from Central Bank (2) Cash to be remitted to Central Bank or (3) Cash sufficient for operations.</t>
  </si>
  <si>
    <t>This process describes handling of a customer request for an account statement (Current period/ Past period).</t>
  </si>
  <si>
    <t>This process describes the activities performed by a teller to capture details of Cheque book stock received from HO/ other branches and the subsequent dispatch/transfer of stocks to other branches.</t>
  </si>
  <si>
    <t>Change Customer Liability</t>
  </si>
  <si>
    <t>Receivable Registers/Batch/ Contract can be amended for various reasons, like request from customer, change of bill details etc. After the amendment of Register/Batch/Contract the respective processes are triggered to complete the sequence. This process covers only the case, where the bill has not been sent for collection.</t>
  </si>
  <si>
    <t>The process describes activities for amendment/ preclosure of a loan in the SL Module.</t>
  </si>
  <si>
    <t>The individual Receivables captured are batched for further execution. Each batch accommodates Receivables of same customer, currency and product type. (This is an optional process)</t>
  </si>
  <si>
    <t>This process deals with disbursement of invoices which are under collection but not collateralised by changing the product type which can be disbursed.</t>
  </si>
  <si>
    <t>This process describes the activities of Increase/ Decrease Margin on Import LC.</t>
  </si>
  <si>
    <t>This process describes settlement of a trade (Sec/Own book). On trade authorization and once the advices and pre-matching is complete, system automatically checks for the type of settlement to be performed (actual vs contractual). On receipt of appropriate settlement confirmation from the depository/ custodian, trade is “settled” with the updation of cash and security positions.</t>
  </si>
  <si>
    <t>Execute Client Forex Deal</t>
  </si>
  <si>
    <t>Manage Investment Loan (Wealth Lending)</t>
  </si>
  <si>
    <t>Manage Margin Call for Wealth Lending</t>
  </si>
  <si>
    <t>Place Fiduciary</t>
  </si>
  <si>
    <t>This process outlines the function to manage lists, that are applicable to various objects like portfolio, instrument, third party, etc. It provides the ability to set the portfolios belonging to the list adding each portfolio to the composition of the list, or by defining criteria applicable to identify the portfolios belonging to the composition.</t>
  </si>
  <si>
    <t>This process explains the amendment of existing SBL Transactions that are not liquidated. System supports substitution of securities and also allows user to amend the maturity date of existing SBL transactions.</t>
  </si>
  <si>
    <t>Set Up Password</t>
  </si>
  <si>
    <t>Define And Maintain Accounting Policy</t>
  </si>
  <si>
    <t>Verify Accounting Journal</t>
  </si>
  <si>
    <t>The process depicts the manual amendment of provision, loan classification and customer classification for SL, MM, LD and AA.</t>
  </si>
  <si>
    <t>This process is for generating a GL report on adhoc basis during the course of the day.</t>
  </si>
  <si>
    <t>This process is for setting up the accounting rules for AA related activities and events.</t>
  </si>
  <si>
    <t>The process depicts the activities of an accountant who reviews and analyses the various types of accounting entries with a view to have a general control over the correctness of the entries passed by the user induced transactions.</t>
  </si>
  <si>
    <t>The process is for the accountant to review the different type of balances of the assets and liabilities and P&amp;L and, if necessary, to reconcile with the accounts and contract balances.</t>
  </si>
  <si>
    <t>This process is for identifying the GL reports to be processed and printed during the close of business batch job.</t>
  </si>
  <si>
    <t>Day end report of accounting transactions and summary journal is verified through this process.</t>
  </si>
  <si>
    <t>This process is for defining various types of taxes and associated rules for calculation of tax.</t>
  </si>
  <si>
    <t>Basic parameters for setting up and maintaining the risk profiling of Customer is defined through this process.</t>
  </si>
  <si>
    <t>This process handles the requirement for setting up of document management parameters by defining the class of document, status codes, grouping conditions and rules.</t>
  </si>
  <si>
    <t>Perform Murabaha Contract Status Change (IF)</t>
  </si>
  <si>
    <t>This process is to enable settling of Broker accounts after buy/ sell transaction.</t>
  </si>
  <si>
    <t>This process describes Payment of Retention Amount (if any) back to the Vendor/ Supplier/ Customer.</t>
  </si>
  <si>
    <t>This process describes settlement of Ijara finance contract with the down payment amount collected from the customer.</t>
  </si>
  <si>
    <t>This process is used to manage Reviewer (create/ amend) details.</t>
  </si>
  <si>
    <t>This process is used to review Asset/ Commodity involved in purchase.</t>
  </si>
  <si>
    <t>This process describes the sale of commodity received from the Customer to Sell Broker.</t>
  </si>
  <si>
    <t>Create Private Advisory Internet Banking User</t>
  </si>
  <si>
    <t>Execute Funds Transfer (Online Channels)</t>
  </si>
  <si>
    <t>Manage Messages (PWM Internet Banking)</t>
  </si>
  <si>
    <t>Manage Messages (Online Channels Corporate)</t>
  </si>
  <si>
    <t>This process describes the steps involved in initiating a new account creation request by the user through online banking channels.</t>
  </si>
  <si>
    <t>This process describes the activities of initiating an Outward (Export) Collection by a user through Online Channels.</t>
  </si>
  <si>
    <t>This process helps in analysing current market trend by checking the economy reports and market stability.</t>
  </si>
  <si>
    <t>This process describes steps involved in initiating a request for stop payment of cheque through Online Channels by an existing Corporate user.</t>
  </si>
  <si>
    <t>Alerts and channel preference can be set for PWM customers through internet banking.</t>
  </si>
  <si>
    <t>This process provides option to the Private Internet banking users to compose, reply and delete the messages in inbox/ sent folders in the email feature of Internet Banking.</t>
  </si>
  <si>
    <t>This process describes to Create, Edit and Delete the Utility Payees through internet banking by a PWM internet banking user.</t>
  </si>
  <si>
    <t>This process describes the activities associated with amending online channels retail user profile. The user is allowed to update his nick name and contacts through online banking channels.</t>
  </si>
  <si>
    <t>This process describes the steps taken by a Customer in setting up various types of standing orders through online banking channels.</t>
  </si>
  <si>
    <t>This process describes the steps taken by a Customer in setting up various types of standing orders through internet banking.</t>
  </si>
  <si>
    <t>This process describes the activities of submitting documents under Export LC by a Online Channels Corporate User.</t>
  </si>
  <si>
    <t>This process describes the activities of viewing an Issued Export LC by a Online Channels Corporate User.</t>
  </si>
  <si>
    <t>User can select Markets he would like to follow. Latest market information will be displayed.</t>
  </si>
  <si>
    <t>Respond to Investigation (Instant)</t>
  </si>
  <si>
    <t>This process describes the activity of receiving a request to cancel inward credit. The cancellation request from the initiator is forwarded to clearing who in turn forwards it to the beneficiary bank. The cancellation request received from clearing is validated and executed or forwarded to Indirect Participant based on participation type. Cancellation Request is rejected in case the request is received after cancel acceptance days.</t>
  </si>
  <si>
    <t>This process describes the activity of receiving cancellation request (as a Direct Participant) from Indirect Participant, validating the request and forwarding the same to clearing.</t>
  </si>
  <si>
    <t>This Flow describes the process of receiving response from Clearing/ Direct Participant for the original remittance request sent. Response can be a positive or negative response. Based on the response either the payment is completed or payment rejected and transaction reversed.</t>
  </si>
  <si>
    <t>Process Outward Cheque Collection (Standalone)</t>
  </si>
  <si>
    <t>The process originates with the receipt of Cheque related information through Interface which can be either Single or Bulk file, the same gets validated and executed in TPH standalone system. Necessary validations (e.g. duplicate check) are done before processing the request and then the transaction will be sent to the Cheque Clearing.</t>
  </si>
  <si>
    <t>This process describes the activities of processing return requests (pain.004). Based on the return request, system will identify the settled transaction and reverse the entries posted.</t>
  </si>
  <si>
    <t>Process Clearing Status Report (SEPA)</t>
  </si>
  <si>
    <t>This process describes the steps involved in payment order initiation from different applications for payment related activities like Standing order execution, Loan disbursement etc. On initiation, Payment Order performs funds check and reserves the transaction amount for executing the payment.</t>
  </si>
  <si>
    <t>Cancel Standing Order Instruction</t>
  </si>
  <si>
    <t>Set Up Beneficiary</t>
  </si>
  <si>
    <t>The process begins with the receipt of request for an account to account transfer from the Customer at the front office.</t>
  </si>
  <si>
    <t>This process describes activities associated with revocation of stop payment of a LCY draft.</t>
  </si>
  <si>
    <t>2.3.4 Loan Maintenance</t>
  </si>
  <si>
    <t>This process describes how to remove a sub account from the group any time.</t>
  </si>
  <si>
    <t>This process describes the receipt of an amendment request for an arrangement account from the Customer and capturing the amendments in the system. The amendment can also be bank initiated. Amendments related to change product/ account details/ holding pattern or to set dormancy/ posting restrict or to renegotiate arrangement/ adjust balances and bills of an arrangement account is done through new activity option in AA overview.</t>
  </si>
  <si>
    <t>This process describes the sequence of activities associated with registration and payment of reimbursement claims received from the claiming bank. This process also describes the steps to be followed in case the reimbursement authority is not available with the reimbursing bank or in case the details of the claim does not match the reimbursement authority.</t>
  </si>
  <si>
    <t>This process describes the steps involved in capturing travel notifications by the customer through online banking channels. Travel details like place and period of travel, purpose of travel can be submitted by the customer through online channels. Travel notifications are marked as expired and moved to history automatically on reaching the travel end date.</t>
  </si>
  <si>
    <t>This process describes activities associated with amending/ deleting a beneficiary through Online Channels. This can be an internal customer of the bank or an external beneficiary.</t>
  </si>
  <si>
    <t>Initiate IPO Order</t>
  </si>
  <si>
    <t>Execute IPO Order</t>
  </si>
  <si>
    <t>2.2.9 Common Processes</t>
  </si>
  <si>
    <t>Receive Ancillary Message</t>
  </si>
  <si>
    <t>Send Ancillary Message</t>
  </si>
  <si>
    <t>The process describes the activities involved in receiving an Ancillary Trade Structured Message (MT759) requesting or providing information regarding an existing documentary credit, demand guarantee, standby letter of credit or an undertaking (for example, a guarantee, surety, etc.). In case of request for information, then the response to the MT759 received can either be by sending another MT759 or through MT799.</t>
  </si>
  <si>
    <t>The process describes the activities involved in either initiating an Ancillary Trade Structured Message (MT759) or sending MT759 as a response to an previously received MT759. Initiation of MT759 is to request for information or to provide information (for example fraud alert, financing request etc.) regarding an existing trade transaction. Trade transactions involving documentary credit, demand guarantee, standby letter of credit or an undertaking (for example, a guarantee, surety, etc.). MT759 can also be sent in response to a request for information received previously.</t>
  </si>
  <si>
    <t>This process describes the activities involved for pre-disbursal of a mortgage loan. The limits are set up and loan arrangement created after necessary checks. Either the term or fixed equal repayment amount is captured while creating the loan, based on which is captured, either term or amount is automatically calculated and the repayment schedule arrived at.</t>
  </si>
  <si>
    <t>Initiate Fund Order</t>
  </si>
  <si>
    <t>Manage Consent (Online Channels Retail)</t>
  </si>
  <si>
    <t>Change Customer Group</t>
  </si>
  <si>
    <t>The request for trading is received from the customer. Customer and Portfolio Information will be checked in TAP before Initiating Order.</t>
  </si>
  <si>
    <t>2.1.4 Balance Netting - Cash Management</t>
  </si>
  <si>
    <t>Create Currency Top Account (CT)</t>
  </si>
  <si>
    <t>Create Master Account (MA)</t>
  </si>
  <si>
    <t>This Process depicts creation of Master Account as part of the Cash Pool. Master Account represents the customers total CT Account balances converted into Master Account currency which is updated real-time when there is an update in CT Account. The CT Account determines the currency of the Master Account and forms the Uppermost level in the Balance Netting Structure.</t>
  </si>
  <si>
    <t>Create Transaction Account (TR)</t>
  </si>
  <si>
    <t>This Process depicts the creation of Transaction Accounts of the Cash Pool. Transaction Account is the Operational Account in the Cash Pool where transactions are booked with Real time transaction and balance updation. This can be denominated in any currency eligible. Relevant MA or SA/CS is mentioned in the creation process to form a complete cash pool.</t>
  </si>
  <si>
    <t>This process describes the activities for setting up standard documents and conditions, which can be used within the LC and MD application.</t>
  </si>
  <si>
    <t>Execute Forex Trade (TFO)</t>
  </si>
  <si>
    <t>Manage Loans (Online Channels Corporate)</t>
  </si>
  <si>
    <t>View Deposits (Online Channels Corporate)</t>
  </si>
  <si>
    <t>Set Up Transaction Stop</t>
  </si>
  <si>
    <t>6.5 Online Channels User Administration Processes (TCUA)</t>
  </si>
  <si>
    <t>Login to Online Channels User Administration</t>
  </si>
  <si>
    <t>Create Online Channels Customer Profile</t>
  </si>
  <si>
    <t>Manage Online Channels Customer Profile</t>
  </si>
  <si>
    <t>Manage Online Channels User</t>
  </si>
  <si>
    <t>Create Role for Online Channels User</t>
  </si>
  <si>
    <t>Manage Online Channels Customer Role</t>
  </si>
  <si>
    <t>This process describes the steps involved in viewing or amending Online Channel Role. Permissions, Privileges, Limits set for online access can be modified by amending the Role (Online Services sub-arrangement).</t>
  </si>
  <si>
    <t>This process describes the steps involved in authorising Online Channels Customer Role. Permissions, Privileges, Limits amended in Role (Online Services sub-arrangement) can be finalised by authorising the sub arrangement.</t>
  </si>
  <si>
    <t>Issue of LCY Draft (Retail)</t>
  </si>
  <si>
    <t>This process deals with the validation and execution of account to account transfers. Transfers are validated against transaction stop instructions and overrides raised in case transaction being executed matches stop instructions.</t>
  </si>
  <si>
    <t>3.1.1 Drafts (Bankers Cheques)</t>
  </si>
  <si>
    <t>3.1.2 Standing Orders</t>
  </si>
  <si>
    <t>3.1.3 Direct Debits</t>
  </si>
  <si>
    <t>3.1.3.1 Direct Debits (Inward)</t>
  </si>
  <si>
    <t>3.1.3.2 Direct Debits (Outward)</t>
  </si>
  <si>
    <t>The Payment Order application captures the payment instructions from the customer or from Channels or Bank internal processing and these orders are validated/ executed based on the Payment order parameter setup available for the Bank i.e. either through TPS or any 3rd party interfaces.</t>
  </si>
  <si>
    <t>The process describes activities involved in maintaining manual disbursement in Mudaraba Finance.</t>
  </si>
  <si>
    <t>The process describes activities involved in maintaining Scheduled disbursement in Mudaraba Finance.</t>
  </si>
  <si>
    <t>Receive Mudaraba Finance Application (IF)</t>
  </si>
  <si>
    <t>Perform Impairment (Write-Off) (IF)</t>
  </si>
  <si>
    <t>Manage User Administration (Online Channels Corporate)</t>
  </si>
  <si>
    <t>This process describes the User Administration functionalities, an Online Corporate User can perform based on the privileges granted to his profile. As an User Administrator the Online Corporate User can create/amend/authorize Roles and Users only if the Role or User belong to same Master arrangement as the Online Corporate User.</t>
  </si>
  <si>
    <t>This process describes the steps involved in viewing or amending online channel user details. Direct User details can be amended by the Bank while Indirect Users details can be amended by both Bank and Corporate User.</t>
  </si>
  <si>
    <t>This process describes the steps involved in authorising Direct/ Indirect Users. Direct Users are External users created for a customer profile (Online service arrangement) and can be authorised by the Bank. Indirect Users are External users created either for a customer profile (Online service arrangement) or User Role (sub arrangement of the Online service arrangement) and can be authorised by the Bank and by a Corporate User.</t>
  </si>
  <si>
    <t>The process depicts activities when the sight LC Bills sent for collection are realised by the LC issuing Bank/reimbursing Bank. Payment can also be made through Payment Order when export proceeds needs to be assigned to a the third party beneficiary, as assigned by the original beneficiary, through Nostro.</t>
  </si>
  <si>
    <t>The process depicts activities when the sight portion of mixed LC Bills are realised by the LC issuing Bank/reimbursing Bank. Payment can also be made through Payment Order when export proceeds needs to be assigned to a the third party beneficiary, as assigned by the original beneficiary, through Nostro.</t>
  </si>
  <si>
    <t>Manage Payment Order Exceptions</t>
  </si>
  <si>
    <t>Reverse Inward Entries</t>
  </si>
  <si>
    <t>11.1.1 Customer Creation</t>
  </si>
  <si>
    <t>Create Corporate Customer (UKMB)</t>
  </si>
  <si>
    <t>Create Individual Customer (UKMB)</t>
  </si>
  <si>
    <t>11.1.2 Financial Services Compensation Scheme (FSCS)</t>
  </si>
  <si>
    <t>2.1.4.1 Manual Creation of Balance Netting Cash Pool</t>
  </si>
  <si>
    <t>Initiate Funds Transfer Between Transaction Accounts</t>
  </si>
  <si>
    <t>Set Up Sweep Between Transaction Accounts</t>
  </si>
  <si>
    <t>Manage Account To Account Transfer (Corporate)</t>
  </si>
  <si>
    <t>This process describes the activities to manage Loans such as viewing loan details, schedule, transaction lists, collaterals, paying overdue of loans and repaying loan fully or partially through online banking channels.</t>
  </si>
  <si>
    <t>0.5 Financial Institutions</t>
  </si>
  <si>
    <t>0.6 Contact Management</t>
  </si>
  <si>
    <t>0.7 Campaign Management</t>
  </si>
  <si>
    <t>0.8 CRM Administration</t>
  </si>
  <si>
    <t>0.9 Common Processes</t>
  </si>
  <si>
    <t>10.1 Islamic Customer</t>
  </si>
  <si>
    <t>0.4 Islamic Banking Clients</t>
  </si>
  <si>
    <t>Manage Customer Engagements (Islamic)</t>
  </si>
  <si>
    <t>Create Customer (Islamic)</t>
  </si>
  <si>
    <t>This process describes the activities involved in Customer creation, once the required background checks are completed, the user creates/ updates the customer record. AML and KYC checks are done and documents received from customer are scanned and attached to the customer record.</t>
  </si>
  <si>
    <t>Open Mudaraba Account</t>
  </si>
  <si>
    <t>Open Mudaraba Deposit</t>
  </si>
  <si>
    <t>Open Wakala Deposit</t>
  </si>
  <si>
    <t>Perform Profit Distribution</t>
  </si>
  <si>
    <t>10.4.1 Profit Upfront Sale</t>
  </si>
  <si>
    <t>10.4.1.1 Murabaha</t>
  </si>
  <si>
    <t>10.4.1.3 Commodity Murabaha</t>
  </si>
  <si>
    <t>10.4.2 Profit Accrual Sale</t>
  </si>
  <si>
    <t>10.4.2.1 Diminishing Musharaka</t>
  </si>
  <si>
    <t>10.4.2.2 Mudaraba Finance</t>
  </si>
  <si>
    <t>10.4.2.3 Forward Ijara</t>
  </si>
  <si>
    <t>10.4.2.4 Construction Finance</t>
  </si>
  <si>
    <t>10.4.2.5 Qard Hassan</t>
  </si>
  <si>
    <t>10.4.2.6 Baisalam</t>
  </si>
  <si>
    <t>10.4.3 Multi Structured</t>
  </si>
  <si>
    <t>10.4.3.1 Wakala-Musawama</t>
  </si>
  <si>
    <t>10.4.4 Common Processes</t>
  </si>
  <si>
    <t>10.4.4.1 Credit Operations (IF)</t>
  </si>
  <si>
    <t>10.4.4.3 Sales Amendments (IF)</t>
  </si>
  <si>
    <t>10.4.4.4 Past Due Management (IF)</t>
  </si>
  <si>
    <t>10.4 Islamic Financing</t>
  </si>
  <si>
    <t>10.3 Islamic Profit Distribution System</t>
  </si>
  <si>
    <t>This process describes the steps involved in opening a Mudaraba savings account. Mudaraba savings account is a Profit-sharing partnership contract between a capital provider (Rab-ul-Mal) and a Mudareb (Fund Manager) in a Joint Investment. Client is the owner of the fund and Bank is just manager of the Fund. Mudaraba Savings accounts are mainly meant for Non-Trading customers who have some potential saving with a few number of transactions taking place.</t>
  </si>
  <si>
    <t>Execute Internal Forex Deal (TFO)</t>
  </si>
  <si>
    <t>Execute Money Market Trade (TFO)</t>
  </si>
  <si>
    <t>Capture Deal - With Exception Workflow (TFO)</t>
  </si>
  <si>
    <t>This process describes the transfer of positions between the dealers using Treasury Front Office.</t>
  </si>
  <si>
    <t>This process describes the capture of MM Deals in the Treasury Front Office system after the strategy is defined. Details of booked deals is provided to Back office for further processing.</t>
  </si>
  <si>
    <t>This process involves formulation of an appropriate Forex Deal strategy after analysis of current position and market information in Treasury Front Office assisted by market data provided by data vendors such as Reuters and Bloomberg.</t>
  </si>
  <si>
    <t>This process involves formulation of an appropriate Money Market Deal strategy after analysis of current position and market information in Treasury Front Office assisted by market data provided by data vendors such as Reuters and Bloomberg.</t>
  </si>
  <si>
    <t>Process describes the activities for handling the invocation of bank guarantee by the beneficiary/ beneficiary's bank. Payment can be made through Payment Order when invocation proceeds needs to be routed through Nostro Account.</t>
  </si>
  <si>
    <t>On maturity of futures contract or expiry of options contract, system would automatically mark the record as 'expire'. This process is for manually capturing the maturity of a futures contract or the expiry of an option contract. Buyer and seller Commission will be calculated and defaulted based on Charge Tax Type for Dx.maturity/ Dx.expiry activity if set in SC.CHARGE.TAX.CALC.CREATE or can be manually input.</t>
  </si>
  <si>
    <t>Receive and Initiate FX Limit Order (TFO)</t>
  </si>
  <si>
    <t>This process describes the activities associated with receipt and initiation of FX Limit orders in Treasury Front Office.</t>
  </si>
  <si>
    <t>Initiate Payment Order (Online Channels Corporate)</t>
  </si>
  <si>
    <t>This process is carried out for execution of the standing order. The payments orders are automatically generated using Standing order details.</t>
  </si>
  <si>
    <t>Revoke Stop Payment of LCY Draft (Teller)</t>
  </si>
  <si>
    <t>This process describes managing of account groups by Online Channels user. Account Group is a Online Channels feature through which a user can select among his accounts and group them for a specific purpose. The grouping can be customised anytime based on customer preferences for ease of use. The Online Channels user can add a single or multiple account groups and the user can also amend or delete the existing Account Groups.</t>
  </si>
  <si>
    <t>Initiate Private Equity Investment</t>
  </si>
  <si>
    <t>Create Limit Arrangement Account</t>
  </si>
  <si>
    <t>Initiate Cancellation of Funds Subscription</t>
  </si>
  <si>
    <t>This process describes the steps involved in viewing or amending Online Channels Customer Profile (Online Service Arrangement). Details of the customer profile selected can be viewed and a Direct User/ Indirect User/ Role created for the selected profile by the Online Channels User. Access to Online Channels can be amended by amending the arrangement.</t>
  </si>
  <si>
    <t>Initiate Cheque Book Request (STP) (Online Channels Retail)</t>
  </si>
  <si>
    <t>This process describes how a Maintenance sweep is performed. Maintenance Sweep is triggered while executing intra-day sweep by comparing the Sweep Account Balance of the cash pool with the Minimum Amount defined in the Cash Pool record. Credit happens to the sweep account considering the other aspects such as Minimum Transfer Credit, Sweep in units defined in the cash pool and Partial Transfer value defined in the Group Param level. Sweep will not happen if it does not meet the defined criteria in the cash pool. In case of multiple link accounts, Deficit in sweep account is swept as per the Link Account sequence defined in Rule Priority.</t>
  </si>
  <si>
    <t>Execute Maintenance Sweep (Transactional Pooling)</t>
  </si>
  <si>
    <t>Execute Surplus Sweep (Transactional Pooling)</t>
  </si>
  <si>
    <t>Execute Two Way type Sweep (Transactional Pooling)</t>
  </si>
  <si>
    <t>Digital Engagement</t>
  </si>
  <si>
    <t>Digital Engagement Processes</t>
  </si>
  <si>
    <t>12.1 Campaign Management Processes</t>
  </si>
  <si>
    <t>12.1.1 Campaign Programs</t>
  </si>
  <si>
    <t>Define Campaign Program</t>
  </si>
  <si>
    <t>This Process details out the steps involved in defining a new Campaign Program. Campaign Programs are used to group Campaigns and Campaign Program by start date and end date, which helps to manage the Approved Campaign Programs and Running Campaigns better. The Campaign Programs and Campaigns will automatically inherit the Start Date and End Date from the Campaign Program to which they belong.</t>
  </si>
  <si>
    <t>12.1.2 Campaigns</t>
  </si>
  <si>
    <t>This Process details out the steps involved in defining a new Profile. A Profile describes specific segments of the Customers, selected based on a set of conditions, gathered from different data sources. Profiles are used by Campaigns to filter out the Target Audience.</t>
  </si>
  <si>
    <t>Define Campaign</t>
  </si>
  <si>
    <t>This Process details out the steps involved in defining a new Campaign. A Campaign is the process of delivering personalized content to the Target Audience using various communication Channels.</t>
  </si>
  <si>
    <t>Define Reusable Resource</t>
  </si>
  <si>
    <t>Define Template</t>
  </si>
  <si>
    <t>Start Campaign</t>
  </si>
  <si>
    <t>12.1.3 Global Details</t>
  </si>
  <si>
    <t>Define Global Details Record</t>
  </si>
  <si>
    <t>This Process details out the steps involved in defining a new Global Exclusion Profile. Global Exclusion Profiles are a type of Profile that contains conditions according to which the Customers to whom the Bank does not want to promote any products are filtered out at the execution of any Marketing Campaign. Global Exclusion Profiles can exclude certain Customers from receiving Campaign Communications. The Global Exclusion Profiles are first evaluated once a Customer triggers the execution of a Campaign.</t>
  </si>
  <si>
    <t>Define Global Exclusion Profile</t>
  </si>
  <si>
    <t>12.2 Administration Processes</t>
  </si>
  <si>
    <t>Define Content Type</t>
  </si>
  <si>
    <t>Define Output Location</t>
  </si>
  <si>
    <t>This Process details out the steps involved in defining a new Output Location. Output Locations are part of the Online Channel configuration and are used to define the exact location where the message of the Campaign will be displayed.</t>
  </si>
  <si>
    <t>This Process details out the steps involved in defining a new Social Media Application. Social Media will retrieve Facebook profile data that can be used in Marketing Campaigns to incentivise Bank Customers to allow access to their Facebook details or to send communications to Customers, based on collected Facebook data in order to increase Customer loyalty.</t>
  </si>
  <si>
    <t>Define Offline Channel</t>
  </si>
  <si>
    <t>Define Profile</t>
  </si>
  <si>
    <t>This Process details out the steps involved in defining a New Template. Templates are the output content for Offline Channels that can be shared by different users. An Offline Channel does not require the immediate attention of the receiver. The message is send and the receiver can see the message at a later point in time. For example: for Email Channel, if a Campaign is triggered by an Event, the Email sent by the Campaign can be read by the customer at a later point in time.</t>
  </si>
  <si>
    <t>This Process details out the Campaign start process. It also explains the procedure involved in suspending an running campaign and resuming a suspended campaign.</t>
  </si>
  <si>
    <t xml:space="preserve">Digital Engagement processes caters to designing, planning and executing results-driven communications (Campaigns) across a variety of Online Channels (Internet and Mobile Banking) and Offline Channels (Email, Secure Message, SMS). Managing real time communication with Customers through Digital Channels is achieved through Digital Engagement User Agents Interfaces (front end applications - Campaign Management User Agent Interface and Campaign Administration User Agent Interface)
</t>
  </si>
  <si>
    <t>Set Global Facility (Company Limit Structure)</t>
  </si>
  <si>
    <t>Set Up Customer Group</t>
  </si>
  <si>
    <t>Perform Pre-Disbursal (PL)</t>
  </si>
  <si>
    <t>Perform Pre-Disbursal (ML)</t>
  </si>
  <si>
    <t>Create External Arrangement Account</t>
  </si>
  <si>
    <t>Perform Allegement Management</t>
  </si>
  <si>
    <t>This Process describes the creation of an External Arrangement account for the purpose of external Sweeps. Arrangement accounts are set up with linked account number, which will be nostro accounts (beneficiary). The purpose of the external Arrangement account is to act as a Link Account in the Cash pool record in-order to facilitate sweep of funds from the source account to an external account via payment order.</t>
  </si>
  <si>
    <t>This process describes how a Surplus sweep is performed. Surplus Sweep is triggered while executing intra-day sweep by comparing the Sweep Account Balance of the cash pool with the Maximum amount defined in the Cash Pool record. Debit to the sweep account happens considering the other aspects such as Minimum Transfer Debit, Maximum concentration Amount in link account, Sweep in Units defined in the cash pool and Partial Transfer value defined in the Group Param level. Sweep will not happen if it does not meet the defined criteria in the cash pool. In case of multiple link accounts, Surplus credit is executed as per the Link Account sequence defined in Rule Priority.</t>
  </si>
  <si>
    <t>Receive File from Indirect Participant (SEPA)</t>
  </si>
  <si>
    <t>Execute Inward Credit Transfer from Indirect Participant (SEPA)</t>
  </si>
  <si>
    <t>This process highlights the amendments carried out to a REPO/RESO deal.</t>
  </si>
  <si>
    <t>Process Internal Draft Payments</t>
  </si>
  <si>
    <t>Perform Sanction Screening (Instant)</t>
  </si>
  <si>
    <t>Set Up Standing Order Instructions between Transaction Accounts</t>
  </si>
  <si>
    <t>This process describes the activities involved in setting up of Standing Order instruction between Transaction accounts within the same Bundle for Internal Balance Netting transaction.</t>
  </si>
  <si>
    <t>This Process depicts creation of a Limit Arrangement account for the purpose of calculating charges on Limit balances. Limit Arrangement created, needs be attached as Charge Account in the Limit set for the customer's Current Account Arrangement.</t>
  </si>
  <si>
    <t>Receive Request for Advice of Cheque</t>
  </si>
  <si>
    <t>12.3 Campaign Execution Processes</t>
  </si>
  <si>
    <t>Receive and Process Request Of Stop Payment Of FCY Draft</t>
  </si>
  <si>
    <t>Perform Declaration of Profit (IF)</t>
  </si>
  <si>
    <t>Perform Matching of Payment Notifications with Cover Payments</t>
  </si>
  <si>
    <t>This process depicts activities associated with the amendment of a beneficiary.</t>
  </si>
  <si>
    <t>This process carries out requests to amend customer related data viz., change customer details or add/ remove additional addresses as well change of the customer status.</t>
  </si>
  <si>
    <t>This process describes the steps involved in amending or deleting an existing travel notification by customer through online channels.</t>
  </si>
  <si>
    <t>This process describes the steps involved in authorising Customer Profile. Customer Profile is an online service arrangement created to set online access for a user. Permissions and privileges are set for an user in the online service arrangement.</t>
  </si>
  <si>
    <t>Amend Routing Instructions</t>
  </si>
  <si>
    <t>Generate Documents For Suggested Investment Strategies</t>
  </si>
  <si>
    <t>Generate Foreign Account Tax Compliance Act (FATCA) Report</t>
  </si>
  <si>
    <t>This process describes the steps involved in searching for data that can be classified as personal using multiple search criteria. Attribute, purpose, accessibility and erasure rule can be updated for the resultant data. Updating the same in Personal Data definition is to be done manually.</t>
  </si>
  <si>
    <t>Accept Documents Under Import LC (Usance)</t>
  </si>
  <si>
    <t>Cancel Account Sweep (Corporate)</t>
  </si>
  <si>
    <t>The process describes activities for converting a Bilateral facility to Syndicated facility or vice versa by trading contingent portion of the facility. Bilateral Facility can be converted into a Syndicated facility by trading contingent or non-contingent portion of the facility to new participants. Syndicated facility can be converted into a Bilateral Facility by trading all contingent and non-contingent portion under the facility such that own bank holds the entire portion (100% share).</t>
  </si>
  <si>
    <t>This Process depicts the creation of Summary Account/ Currency Summary accounts which is part of the Cash Pool. Currency Summary account represents the sum of underlying Transaction Accounts of a Specific Currency. Summary Account represents the sum of underlying Transaction Account balances converted to the currency of the Summary Account.</t>
  </si>
  <si>
    <t>Disbursement of Receivables is done through Receivables contract. For discounted product types, the drawdown account is credited and messages sent.</t>
  </si>
  <si>
    <t>This process describes the execution of an intra-day sweep between customer accounts. The customer request is validated before performing an ad-hoc intra-day transfer. While performing intra-day sweep, cash pool suspend period is calculated and sweep is not executed if the day of sweep falls within cash pool suspend period. If float transfer is set to yes in the Group Param level, then on executing Intraday sweep, balances with future exposure dates (float) will be transferred from the sweep account to the main master account prior to executing the actual sweep. Sweep is executed based on the sweep type set in AC.CASH.POOL (Type: Surplus Sweep or Maintenance Sweep or Two-Way Sweep).</t>
  </si>
  <si>
    <t>This process describes how a Two-Way sweep is performed. Two-Way sweep in general can be either Maintenance Sweep or Surplus sweep depending on the Sweep Account balance and Minimum/Maximum amount defined in the Cash Pool record. This process follows the same flow as defined in Maintenance/ Surplus Sweep once the Sweep type is identified. Sweep will not happen if it does not meet the defined criteria in the cash pool. For Two way sweep type, maintenance sweep condition is checked first and then the surplus sweep condition is checked. In case of multiple link accounts, Deficit in sweep account is swept as per the Link Account sequence defined in Rule Priority while Return Rule Priority sequence is considered for Surplus credit to Link Account.</t>
  </si>
  <si>
    <t>This process describes the activities involved in initiating ad-hoc transfers between Transaction accounts within the same Bundle.</t>
  </si>
  <si>
    <t>Process for setting up Project loan, executing disbursement and activating repayment schedule. Project Progress Report and Financials are analysed for each disbursement(s) as part of monitoring the covenants.</t>
  </si>
  <si>
    <t>This process describes the activities involved in setting up an internal sweep between transaction accounts of the same bundle. User has to define values like Sweep Type, Frequency, Link Accounts to complete the set up. Sweep Types: Maintenance – Source account to maintain the minimum balance specified in sweep. Any deficit is swept from the link account. The deficit amount is debited from the link account and credited to the source account. Surplus - Source account to maintain the maximum balance specified in sweep. Excess balance is debited from the source account and credited to the link account. Zero Balancing – Source account to maintain zero balance. Any deficit is swept from the link account. The deficit amount is debited from the link account and credited to the source account. Excess funds is debited from the source account and credited to the link account.</t>
  </si>
  <si>
    <t>Amend Beneficiary</t>
  </si>
  <si>
    <t>This process describes the steps involved in resubmitting/ cancelling Payment Orders in exception. Payment Order placed on hold can be rectified and resubmitted or cancelled.</t>
  </si>
  <si>
    <t>Financial institutions are required to filter or screen payment instructions before the funds are made available to avoid any breaching of sanctions, embargoes and other measures. This filtering needs to happen real-time before booking the payment. Therefore a system needs to be in place wherein all payments/transactions can be monitored and filtered in a timely manner. Filtering is necessary to stop transactions which aid: terrorist financing, illegal activities financing etc. or fall under OFAC list or SDN list. This is an indicative list and every bank can have its own criteria for filtering. This information is stored on the external database and not internally within the component.</t>
  </si>
  <si>
    <t>This process involves carrying out a stop payment of a draft. In case of a LCY draft, necessary status updates are carried out. For FCY drafts, stop payment confirmation is requested from the correspondent bank and response recorded and acted upon.</t>
  </si>
  <si>
    <t>The process originates with the receipt of Inward cheque from the clearing. Post validation of cheque, the customer account will be debited and the funds will be sent to the clearing house. Also it describes about the Return and Reject process when the customer validation fails.</t>
  </si>
  <si>
    <t>This process describes the steps involved in receiving and processing MT111 message. MT112 is generated and sent based on the status of the FCY draft.</t>
  </si>
  <si>
    <t>This process highlights activities associated with the upload of a bulk file (credits or debits) by a Payment Officer received from a corporate customer or an internal source (e.g. 'Salary Batch). On successful upload the system creates master and individual records. Payment will be routed accordingly.</t>
  </si>
  <si>
    <t>Receive Request For Account To Account Transfer (PP)</t>
  </si>
  <si>
    <t>Receive Request For Outward Remittance (PP)</t>
  </si>
  <si>
    <t>This process depicts the activities involved in cancelling payee instructions. Payee instructions can be cancelled by reversing the beneficiary. If Validate beneficiary link is set to yes then an override is displayed when the beneficiary being reversed is used as a beneficiary in standing orders or future dated payment orders.</t>
  </si>
  <si>
    <t>This process describes the steps involved in reversing inward entries. Reversal will apply to a previously posted entry (individual AC.INWARD.ENTRY), irrespective of whether this has been processed via Single, Bulk or Batch processing mode. Once the entry is processed, the status of the Generic Accounting Request will be updated as either Fail/Success/Suspend depending on the Internal Accounting Request Mode (Field in AC.ENTRY.PARAM which specifies the accounting mode that should be used when the Generic Accounting message is generated, based on the manual request captured by the user) and the type of error/override raised during the reversal.</t>
  </si>
  <si>
    <t>The process describes activities associated with registering an inward direct debit mandate in the system.</t>
  </si>
  <si>
    <t>A Limit Order, is an order to close a trade when the market moves to a specified amount to the advantage of a position. This process describes the activities associated with receipt and initiation of FX limit orders.</t>
  </si>
  <si>
    <t>This function provides the capability to create a new proposal for a client. It supports having proposal portfolio centric, or to have a proposal multiple portfolio oriented.</t>
  </si>
  <si>
    <t>This process defines the Model Portfolio strategy offering the capability to define a strategy based on positions managed through a real portfolio. The investment objective derives from the weights of the instruments and asset classes defined by the positions held in the portfolio. The portfolio referenced is the model applied to the portfolios belonging to this strategy.</t>
  </si>
  <si>
    <t>This process describes the steps involved in executing IPO order. The Dealer executes the order by furnishing broker details like Nominal Allotted and Price. Nominal Allotted can be a full, partial or null. Once executed, the execution details are updated and trade is created for further processing. Refund in case of null or partial allotment of nominal is also processed at the time of execution.</t>
  </si>
  <si>
    <t>This process shows the steps involved in executing an order through Direct Market Access in Wealth Suite. In this process, a separate interface acts as an Order Management Screen which sends the order to the market for execution.</t>
  </si>
  <si>
    <t>This process covers the Interest Multiplier Facility (IMF), which is a Structured/ Composite product consisting of a pair of Term Loans in one currency and a Term Deposit in another currency. The maturity dates of the Loan and the Deposit are always the same. Amounts are (more or less) the same. In case of roll-over, the Loan and Deposit are rolled over as 1 composite product.</t>
  </si>
  <si>
    <t>Packaged Options/ Option Structures are structures which have more than one option component. A typical example would be a synthetic forward, which has two component options - a Buy Call and a Sell Put with the same underlying, strike price and Maturity.</t>
  </si>
  <si>
    <t>This process describes maintenance of a Securities Model, e.g. pure equity, balanced, etc. This is linked to the Investment Strategy file so that it can be used to rebalance the securities positions of existing portfolios.</t>
  </si>
  <si>
    <t>Portfolios can be pledged as collateral for credit facility provided to customers by the bank. Sec Margin Ratio can be calculated and used as a performance monitoring. Portfolio Grouping will help margin value of child portfolio to be used by master portfolio for the facility provided to the Master. New Issuers can be set and linked to Government/ Mortgage Bonds and Mutual Funds. If Parameter is set, issuer diversification will be calculated on estimation and margin value and applied over Portfolio Margin Value.</t>
  </si>
  <si>
    <t>Through this process address for agent or place of settlement can be updated for non-customers and if BIC address for agent or place does not exist. Captured address can be used in Broker SSI or Security Master as Place of Settlement.</t>
  </si>
  <si>
    <t>This function provides the ability to set constraints at asset class and instrument levels for portfolios. Modelling constraints are online - integrated into the derivation mechanism to derive the optimized investment weight, verifying the investment objectives set at strategy level and constraints. Asset allocation constraints refine the investment objectives of the strategy at asset class level with the ability to set maximum, minimum, priority, criticalness or to fix the value within the derivation mechanism. Security In Constraint refines the objectives for an instrument and instrument list. Security Out Constraint provides the capability to exclude in totality or partially the position relative to an instrument into compliance processing.</t>
  </si>
  <si>
    <t>The process begins with the receipt of outward remittance request from the customer. Necessary duplicate and AML checks are done before processing the remittance. A cover message is automatically generated if the remitting Bank does not have a Nostro account relationship with Beneficiary Bank.</t>
  </si>
  <si>
    <t>This process describes the steps involved in creating Direct/ Indirect online channel users. Direct User is a customer of the bank and is the owner of the customer profile (Online service arrangement) for which the external user is created. Direct Users can be created only by the Bank. Indirect User is not a customer of the bank but is granted access to perform miscellaneous activities. Indirect user can be created by the Bank or by a Corporate User having Administration privileges for an User Role (sub arrangement) or a Customer Profile (master arrangement).</t>
  </si>
  <si>
    <t>This process describes initiation of transfer of funds through Online Channels by a Corporate Online Channels user.</t>
  </si>
  <si>
    <t>This process describes the steps involved in performing activities like Creating, Managing, and Authorising Customer Profile, Direct User, Indirect User, Role by a Bank User after logging into TCUA as an User Administrator.</t>
  </si>
  <si>
    <t>This process describes activities associated with setting up surplus sweep and maintenance sweep for a corporate through Online Channels.</t>
  </si>
  <si>
    <t>This process describes the activities related to viewing and deleting DD Mandates.</t>
  </si>
  <si>
    <t>This process allows users to manage payees (create, amend, delete). User can search payees using search option and also define nickname for their payee.</t>
  </si>
  <si>
    <t>This process describes the activities involved in managing Deposits such as viewing deposit details, setting/ changing End of Term, funding a deposit post its creation, performing part withdrawal or pre-closure of a deposit.</t>
  </si>
  <si>
    <t>This process defines the steps in which the payment can be made to the pre-defined Utility Beneficiary.</t>
  </si>
  <si>
    <t>Receive Request For Online Channels</t>
  </si>
  <si>
    <t>Set Up Standing Order (Online Channels Corporate)</t>
  </si>
  <si>
    <t>This process describes activities associated with the initial specification of password characteristics by the bank viz., minimum length, number of numeric, other characters etc.</t>
  </si>
  <si>
    <t>This process is for defining the fees and commission parameters and setting up the amortisation rule. For Retail AA products Fees and Commission are defined through Product Conditions.</t>
  </si>
  <si>
    <t>Baisalam refers to contract in which advance payment is made for goods to be delivered later on. The seller undertakes to supply some specific goods to the buyer at a future date in exchange of an advance price fully paid at the time of contract. The process begins with the receipt of a completed finance application form from customer. Application could be received for named/quantified Asset. It is acknowledged at the front office and forwarded to the credit department for capturing collateral details and setting up limit. Asset details are captured and payment is made to the seller. Also the delivery of goods is tracked against the commitment made by the seller.</t>
  </si>
  <si>
    <t>During the manufacturing period, the bank will agree on the disbursement of finance amount to manufacture/ produce goods, at the same time the customer may also contribute his portion through cash/ asset. This process is used to Input the Arrangement for Disbursement with Manual/ Scheduled repayment dates.</t>
  </si>
  <si>
    <t>This process is applicable if the goods are ready and it has to be sold with the agreed fixed profit amount. The process begins with the receipt of a completed finance application from the Customer. Application could be received for named/ quantified Asset. It is acknowledged at the front office and forwarded to the credit department for capturing collateral details and setting up limit. Asset details are captured and approved for purchase of Asset/Commodity.</t>
  </si>
  <si>
    <t>In Multistructured product, the outstanding finance amount of the Wakala contract is settled by using the Musawama finance disbursement. The process begins with the receipt of a completed finance application from the Customer. Application could be received for named/ quantified Asset. It is acknowledged at the front office and forwarded to the credit department for capturing collateral details and setting up limit. Asset details are captured and approved for purchase of Asset/ Commodity.</t>
  </si>
  <si>
    <t>This process describes the Payment of additional cost incurred during the Asset/ Commodity Purchase.</t>
  </si>
  <si>
    <t>The process describes the activities relating to the management of over dues of an Islamic Finance. Various activities could be performed viz., Adjust past due, write off past due, change repayment schedule, change penalty Profit (if applicable) etc.</t>
  </si>
  <si>
    <t>This process describes the steps involved in opening a Wakala deposit. Wakala is a Shari'a compliant contract in which the customer can authorize the Wakil (the Bank) to invest funds in Shari'a approved activities for profits.</t>
  </si>
  <si>
    <t>This process depicts the flow of writing-off Mudaraba Finance Overdue balance.</t>
  </si>
  <si>
    <t>This process describes the transfer of ISA/JISA accounts/deposits from one financial institution to another. The transfer of ISA/JISA accounts/deposits is initiated by the acquiring financial institution. The transfer process ends with the transfer of funds into the ISA/JISA accounts/deposits, using the UK Payment channels by the transferor bank known as the ceding party.</t>
  </si>
  <si>
    <t>This process deals with the setting up of Annual subscription made to an ISA/JISA arrangement. Subscriptions made to ISA/JISA arrangements by the customers are tracked to avoid oversubscriptions. If the customer does not deposit the minimum subscription amount, applicable for the tax year, then ISA/JISA account/deposits is made inactive.</t>
  </si>
  <si>
    <t>This Process details out the steps involved in approving a Campaign with A/B testing. A/B testing (sometimes called split testing) is comparing two versions (A and B), which are identical except for one variation that might affect a user's behaviour. Version A (Control) is the current used version, while version B (Variant) is modified in some respect.</t>
  </si>
  <si>
    <t>This Process details out the steps involved in matching the customer details with the running campaign profiles. The Global Exclusion Profiles are processed before any other Profiles used in Campaigns. The Global Campaign Profiles are processed after Global Exclusion Profiles. Campaign Profiles are processed after Global Campaign Profiles. If the customer is part of the targeted audience of a running campaign then that campaign is executed.</t>
  </si>
  <si>
    <t>This Process details out the steps involved when a Campaign it's triggered by a Bank Event. A Bank Event is a transactional or non-transactional action that triggers the execution of Campaigns (e.g. Fund Transfer, Change of Postal Code etc.). Bank Events are based on pre-configured Integration Framework Events.</t>
  </si>
  <si>
    <t>This Process details out the steps involved when a Campaign it's triggered by a Customer Event. Customer Events are part of the Online Channel configuration and they are used to define the Event that will trigger a Campaign from the Front End (TCIB, TCMB) applications (e.g. display of the Home page screen, Click on a button etc.)</t>
  </si>
  <si>
    <t>This Process details out the steps involved in defining a new Bank Event. Bank Events are used to trigger Campaigns from the Bank system. Bank Events will normally be invoked by an Integration Framework Event, but can also be triggered via a service call. In order for a Bank Event to be available to the Business User in the Campaign Management User Agent Interface, the respective Bank Event first needs to be created in the Campaign Administration User Agent Interface based on an existing Integration Framework Event.</t>
  </si>
  <si>
    <t>This Process details out the steps involved in defining a new Customer Events. Customer Events are part of the Online Channel configuration and are used to trigger a Campaign from the front end (Internet Banking, Mobile Banking). When defining a new Customer Event, the Event Type specifying when that Customer Event will be triggered needs to be selected (e.g. display of the Home Page, click on Cancel Standing Order button). Based on the Event Type, the UXP Project Identifier of the element needs to be specified (e.g. Home Page Phase, Button, Question, Menu Item).</t>
  </si>
  <si>
    <t>This Process details out the steps involved in defining a new Online Channel. An Online Channel requires the immediate attention of the receiver. The message is send and the receiver sees the message when it is received. Example: for Internet Banking Channel, if a Campaign is triggered, then a message will be injected in the Internet Banking application and the Customer will be able to see it immediately. Online Channels are based on UXP Projects. For each Online Channel you need to define the Customer Event that will trigger a Campaign and an Output Location where the Campaign output message will be displayed.</t>
  </si>
  <si>
    <t>Define Customer Event</t>
  </si>
  <si>
    <t>Define Data Context</t>
  </si>
  <si>
    <t>Define Global Campaign Profile</t>
  </si>
  <si>
    <t>Define Online Channel</t>
  </si>
  <si>
    <t>Perform Pre-Disbursal (AL)</t>
  </si>
  <si>
    <t>This Process describes the transfer of cash from Vault (by Head teller) to Till (Teller).</t>
  </si>
  <si>
    <t>Execute FCY Cash Deposit</t>
  </si>
  <si>
    <t>Reopen Till</t>
  </si>
  <si>
    <t>Stop Payment Of Cheque (Corporate)</t>
  </si>
  <si>
    <t>Utilise Facility (SL)</t>
  </si>
  <si>
    <t>Initiate Direct Trade (Mutual Funds)</t>
  </si>
  <si>
    <t>This process describes direct Mutual Fund trade processing. On entering mandatory details and after authorisation all charges will be calculated and posted. Customer accounts and other control accounts will be debited or credited and customer positions will be updated.</t>
  </si>
  <si>
    <t>Trigger Campaign for a Bank Event</t>
  </si>
  <si>
    <t>Trigger Campaign for a Customer Event</t>
  </si>
  <si>
    <t>Perform Campaign Matching</t>
  </si>
  <si>
    <t>Execute Inward Credit Transfer (Faster)</t>
  </si>
  <si>
    <t>Receive and Execute Faster Payments</t>
  </si>
  <si>
    <t>2.1.4.4 Balance Netting Transactions</t>
  </si>
  <si>
    <t>2.1.4.2 Automatic Creation of Balance Netting Cash Pool</t>
  </si>
  <si>
    <t>Define Cash Pool Structure</t>
  </si>
  <si>
    <t>Create Cash Pool Accounts</t>
  </si>
  <si>
    <t>2.1.4.3 Restructure of Cash Pool</t>
  </si>
  <si>
    <t>Create New Account in Live Pool</t>
  </si>
  <si>
    <t>Add Standalone Account in Live Pool</t>
  </si>
  <si>
    <t>Activate Account in New Structure</t>
  </si>
  <si>
    <t>Change Cash Pool Structure</t>
  </si>
  <si>
    <t>Execute Intra-Day Sweep Between Transaction Accounts</t>
  </si>
  <si>
    <t>Execute Maintenance Sweep Between Transaction Accounts</t>
  </si>
  <si>
    <t>Execute Surplus Sweep Between Transaction Accounts</t>
  </si>
  <si>
    <t>This process describes the execution of an intra-day sweep between accounts of the pool. The customer request is validated before performing an ad-hoc intra-day transfer. While performing intra-day sweep, cash pool suspend period is calculated and sweep is not executed if the day of sweep falls within cash pool suspend period. Sweep will also check if the sweep time exceeds the master company time set in sweep order parameter. Sweep is executed based on the sweep type set in AC.CASH.POOL (Type: Surplus Sweep or Maintenance Sweep or Zero-Balancing Sweep).</t>
  </si>
  <si>
    <t>This process describes the steps involved in performing a maintenance sweep. Maintenance Sweep is triggered while executing intra-day sweep by comparing the Sweep Account Balance of the cash pool with the Minimum Amount defined in the Cash Pool record. Credit happens to the sweep account considering the other aspects such as Minimum Transfer Credit set in the cash pool and cover control set in the sweep account. Sweep will not be performed if it does not meet the defined criteria in the cash pool.</t>
  </si>
  <si>
    <t>This process describes the steps involved in performing a surplus sweep. Surplus Sweep is triggered while executing intra-day sweep by comparing the Sweep Account Balance of the cash pool with the Maximum amount defined in the Cash Pool record. Debit to the sweep account happens considering the Minimum Transfer Debit defined in the cash pool. Sweep will not be performed if it does not meet the defined criteria in the cash pool.</t>
  </si>
  <si>
    <t>This Process describes the steps involved in defining Cash Pool structure. Cash Pool Master Account is created in Draft status and Pool accounts (SA, CS and TR) are created as placeholders. The actual creation of Pool accounts occurs when the Cash Pool is promoted to Preliminary status.</t>
  </si>
  <si>
    <t>This process details the steps for defining setting Cash Pool and Pool account Go Live date for a newly created Cash Pool. The Cash Pool and its Accounts will get activated on the SOD of their respective Go Live dates.</t>
  </si>
  <si>
    <t>Execute Zero Balance Sweep Between Transaction Accounts</t>
  </si>
  <si>
    <t>This process describes the step involved in handling Maturity of Private Equity Investment. When the Maturity event is processed, each customer is credited with the final maturity amount based on the maturity price of the PE fund.</t>
  </si>
  <si>
    <t>13.2.1 Personal Data Management</t>
  </si>
  <si>
    <t>Create Product Group</t>
  </si>
  <si>
    <t>Receive Request To Issue Draft</t>
  </si>
  <si>
    <t>Set Risk Management Limits</t>
  </si>
  <si>
    <t>This process details the steps for setting Go Live date for a new or standalone account added to a Live pool. The new or standalone account in a live pool will get activated on the SOD of the Go Live date defined.</t>
  </si>
  <si>
    <t>This process describes the steps involved in performing a Zero Balance sweep. Sweep is triggered to maintain account balance as Zero. Intra-day sweep will check the account balance and sweep out the surplus amount to link account. In case the account balance is less than Zero, the deficit is swept in from the link account after considering the cover limit set for the link account.</t>
  </si>
  <si>
    <t>This process describes activities involved in processing internal draft. In an internal draft, the Initiator and Beneficiary will have accounts in the same bank.</t>
  </si>
  <si>
    <t>This process describes the steps involved in receiving and capturing the details of MT110 (Advice of Cheque) which is used to advice the drawee bank, or confirm to an enquiring bank the details concerning the cheque referred to in the message.</t>
  </si>
  <si>
    <t>Create Derivatives Exchange Master</t>
  </si>
  <si>
    <t>Create Derivatives Master</t>
  </si>
  <si>
    <t>Create Security Master</t>
  </si>
  <si>
    <t>Initiate Private Equity Maturity</t>
  </si>
  <si>
    <t>Maintain Security Prices</t>
  </si>
  <si>
    <t>Reconcile Nostro Accounts</t>
  </si>
  <si>
    <t>Set Up Broker</t>
  </si>
  <si>
    <t>Set Up Depository</t>
  </si>
  <si>
    <t>Open Internal Account</t>
  </si>
  <si>
    <t>This process details the steps involved in adding customer's current account to customer Live pool. Newly added standalone account will act as the TR account of the Cash Pool. Standalone Accounts are added in Pending Live status to existing pool and will be activated on the Go Live date set for the accounts.</t>
  </si>
  <si>
    <t>Initiate Capital Return (PE)</t>
  </si>
  <si>
    <t>Initiate Commitment Reduction (PE)</t>
  </si>
  <si>
    <t>Process Management Fees (PE)</t>
  </si>
  <si>
    <t>Amend Mudaraba Account</t>
  </si>
  <si>
    <t>This process describes the receipt of an amendment request for an Mudaraba account from the Customer and capturing the amendments in the system. The amendment can also be bank initiated. Amendments related to account details/ holding pattern or to set dormancy/ posting restrict or to renegotiate arrangement/ adjust balances and bills of an Mudaraba account is done through new activity option in AA overview.</t>
  </si>
  <si>
    <t>Amend Mudaraba Deposit</t>
  </si>
  <si>
    <t>This process describes the receipt of an amendment request for a Mudaraba deposit from the Customer and updating the same on the system.</t>
  </si>
  <si>
    <t>This process describes the receipt of an amendment request for a Wakala deposit from the Customer and updating the same on the system</t>
  </si>
  <si>
    <t>Amend Wakala Deposit</t>
  </si>
  <si>
    <t>Execute Inward Credit Transfer (CHAPS)</t>
  </si>
  <si>
    <t>Execute Incoming Reversal Request from Clearing (Faster)</t>
  </si>
  <si>
    <t>Receive Scheme Return Credit Transfer (Faster)</t>
  </si>
  <si>
    <t>Perform Bulk Payment Validations (Online Channels Corporate)</t>
  </si>
  <si>
    <t>Execute Inward Credit Transfer (SIC)</t>
  </si>
  <si>
    <t>Receive and Execute Payment Instructions (SIC)</t>
  </si>
  <si>
    <t>This process deals with validations that will be performed upon successfully uploading a bulk payments file. On performing the validation of the Bulk Master, if errors are encountered the user can amend, cancel or reject the bulk items. On successful validation, User approves the master bulk records and then the bulk is released immediately for execution in the payment system.</t>
  </si>
  <si>
    <t>The process describes activities associated with processing Incoming return file from clearing. The return payment is matched with the original outward transaction and funds credited back to customer. When validation fails, transaction can be manually matched and customer credited.</t>
  </si>
  <si>
    <t>The process describes the generation of an outward Direct Credit. Based on customer request the customer account is debited and BACS file is generated and sent to clearing.</t>
  </si>
  <si>
    <t>3.1.4.1 Direct Credit (Inward)</t>
  </si>
  <si>
    <t>3.1.4.2 Direct Credit (Outward)</t>
  </si>
  <si>
    <t>3.1.5 Bulk payment</t>
  </si>
  <si>
    <t>3.1.6 Reconciliation</t>
  </si>
  <si>
    <t>3.1.7 Payment Order</t>
  </si>
  <si>
    <t>3.1.8 Inward Entries</t>
  </si>
  <si>
    <t>3.1.9 Beneficiary</t>
  </si>
  <si>
    <t>3.1.10 Common Processes</t>
  </si>
  <si>
    <t>This process describes the steps involved in executing Incoming request for reversing Faster Payments. Upon successful validation, the funds are reversed from customer account and credited to clearing. If validations fail, transaction can be manually repaired.</t>
  </si>
  <si>
    <t>Create Product</t>
  </si>
  <si>
    <t>This process describes the steps involved in promoting a Cash Pool from Draft status to Preliminary status. Currency Top accounts, Summary accounts and Transaction accounts are created with account details in the placeholders created during draft status. Currency Top account is created for every currency of TR Accounts in the Cash pool.</t>
  </si>
  <si>
    <t>The process describes activities associated with the execution of an Inward Direct Debit. When claim file is received from Clearing, validations are performed. Upon successful validation, claims are honored, funds debited from Customer and accounting/ settlement entries raised. When validations fail, based on parameter setup, transactions are automatically cancelled or manually repaired/ cancelled.</t>
  </si>
  <si>
    <t>Receive and Execute BACS Direct Credit Return (Inward)</t>
  </si>
  <si>
    <t>Receive and Execute BACS Direct Credit (Inward)</t>
  </si>
  <si>
    <t>Create Allocation Order (TAP) (Channel)</t>
  </si>
  <si>
    <t>Create Fund Switch Order (TAP) (Channel)</t>
  </si>
  <si>
    <t>Create Investment Proposal (TAP) (Channel)</t>
  </si>
  <si>
    <t>Execute Client Forex Deal (TAP) (Channel)</t>
  </si>
  <si>
    <t>Initiate Capital Call for Private Equity</t>
  </si>
  <si>
    <t>This process describes the step involved in handling of “Commitment Reduction" in Private Equity investment. Based on the commitment reduction percentage, Customers' position against Committed Capital and Undrawn Commitment is reduced.</t>
  </si>
  <si>
    <t>This process describes the step involved in processing Management Fees for the respective PE investment. Management Fees are charged against the commitment of each investor for given percentage and frequency. Once calculated, the Fees can be amended for each Investors before the same is credited to the Issuer Account.</t>
  </si>
  <si>
    <t>Create Portfolio Model (TAP) (Channel)</t>
  </si>
  <si>
    <t>Create Single Order (TAP) (Channel)</t>
  </si>
  <si>
    <t>Define Asset Allocation (TAP) (Channel)</t>
  </si>
  <si>
    <t>Define Risk Strategy (TAP) (Channel)</t>
  </si>
  <si>
    <t>The Risk strategy is a strategy nature used to set the thresholds for the risk measures. This strategy can be included in an Investment Profile.</t>
  </si>
  <si>
    <t>Maintain Holding Constraints (TAP) (Channel)</t>
  </si>
  <si>
    <t>Maintain Security Recommendation (TAP) (Channel)</t>
  </si>
  <si>
    <t>Perform Investment Profiling (TAP) (Channel)</t>
  </si>
  <si>
    <t>Set Up Trading Constraints (TAP) (Channel)</t>
  </si>
  <si>
    <t>Initiate Exchange Traded Derivative Order (TAP) (Channel)</t>
  </si>
  <si>
    <t>View Profit Distribution Projection - Simulation</t>
  </si>
  <si>
    <t>This process describes the steps involved in projecting profit distribution. Profit Distribution Projection - Simulation is used to simulate the profit distribution calculation details for a Future date by projecting the balances available till the last working date. The simulation results cannot be used for Profit distribution.</t>
  </si>
  <si>
    <t>This process describes steps associated with pre-closure of a Mudaraba deposit.</t>
  </si>
  <si>
    <t>This process describes steps associated with pre-closure of a Wakala deposit.</t>
  </si>
  <si>
    <t>Cancel Security Order - DMA (TAP) (Channel)</t>
  </si>
  <si>
    <t>Cancel Security Order - NDMA (TAP) (Channel)</t>
  </si>
  <si>
    <t>The process describes the activities of Order Cancellation via an external OMS before the execution message (inward message) is received. TAP will display the cancellable orders.</t>
  </si>
  <si>
    <t>Cancel Derivatives Order - NDMA (TAP) (Channel)</t>
  </si>
  <si>
    <t>Create Systematic Mutual Fund Plan (TAP) (Channel)</t>
  </si>
  <si>
    <t>The process describes the different steps allowing the creation of a systematic mutual fund plan for a customer portfolio from plan details to plan validation.</t>
  </si>
  <si>
    <t>Manage Systematic Mutual Fund Plan (TAP) (Channel)</t>
  </si>
  <si>
    <t>The process describes the different actions on an existing plan: cancellation, suspension, update, activation and validation.</t>
  </si>
  <si>
    <t>Update Derivatives Order - DMA (TAP) (Channel)</t>
  </si>
  <si>
    <t>Update Derivatives Order - NDMA (TAP) (Channel)</t>
  </si>
  <si>
    <t>Update Security Order - DMA (TAP) (Channel)</t>
  </si>
  <si>
    <t>Update Security Order - NDMA (TAP) (Channel)</t>
  </si>
  <si>
    <t>The process describes the activities of Order update via an external OMS. TAP will display the orders that can be updated.</t>
  </si>
  <si>
    <t>The process describes the activities of Order Update. TAP will display the orders that can be updated.</t>
  </si>
  <si>
    <t>Cancel Derivatives Order - DMA (TAP) (Channel)</t>
  </si>
  <si>
    <t>Execute Security Order - DMA (TAP)</t>
  </si>
  <si>
    <t>Initiate Security Order (TAP) (Channel)</t>
  </si>
  <si>
    <t>Manage Existing Investment Proposal (TAP) (Channel)</t>
  </si>
  <si>
    <t>Receive Instructions For Securities Transaction (TAP) (Channel)</t>
  </si>
  <si>
    <t>Define Investment Profile (TAP) (Channel)</t>
  </si>
  <si>
    <t>Perform Rebalancing (TAP) (Channel)</t>
  </si>
  <si>
    <t>This process shows the different steps performed when profiling a portfolio from an investment perspective.</t>
  </si>
  <si>
    <t>This process shows the steps involved in executing a derivative order through Direct Market Access in Wealth Suite. In this process, a separate interface acts as an Order Management Screen which sends the order to the market for execution.</t>
  </si>
  <si>
    <t>Perform Early Withdrawal of Mudaraba Deposit</t>
  </si>
  <si>
    <t>Perform Early Withdrawal of Wakala Deposit</t>
  </si>
  <si>
    <t>This Process is to generate MT112 - which is sent by the drawee bank (on which a cheque is drawn) to the drawer bank or the bank acting on behalf of the drawer bank with the details of action that have been taken while stop payment of a cheque as referred in the Message.</t>
  </si>
  <si>
    <t>This process involves activities associated with authentication of request in case of sale of Travellers cheques to a Customer.</t>
  </si>
  <si>
    <t>1.2.1.4 Denominations</t>
  </si>
  <si>
    <t>Process describes early maturity/ closure of a loan.</t>
  </si>
  <si>
    <t>The Process describes activities to Negotiate/ discount export LC (Sight or Usance) documents with/ without discrepancies.</t>
  </si>
  <si>
    <t>Activities involved in recording participation in SL like Circulation of Memo inviting for participation, Recording the details of participation and Allotment to participants, Apportionment of devolved portion are described in this process.</t>
  </si>
  <si>
    <t>Perform Pre-Closure (LD)</t>
  </si>
  <si>
    <t>The process describes activities to be undertaken for reinstating an expired Guarantee.</t>
  </si>
  <si>
    <t>Execute BACS Direct Credit Request (Outward)</t>
  </si>
  <si>
    <t>This process details the various types of credit payments to be effected on the processing date for a bulk upload viz., internal transfer, transfer to an external beneficiary through clearing/ SWIFT and payment through a Draft.</t>
  </si>
  <si>
    <t>Receive and Execute BACS Direct Debit (Inward)</t>
  </si>
  <si>
    <t>Trade data is checked for completeness and confirmation sent to the counterparty. Upon obtaining a matching trade, settlement is executed. An option available to send MT527 (Triparty collateral instruction) to the triparty when there is new Trilateral Repo Deal and also in case of amendments (Maturity date, Repo rate, Principal Increase and Third Party Reference) in the trilateral REPO deal.</t>
  </si>
  <si>
    <t>This process is for manually expiring Swaption contract and the Swap contract if exists, needs to be deleted and the closeout generated to be manually authorised.</t>
  </si>
  <si>
    <t>A Credit Default Swap can directly be traded by Trading Desk. For CDS contracts, underlying is always set to OTHER and contract class should have CONTRACT.TYPE set to CDS. These could be regular or exotic contracts.</t>
  </si>
  <si>
    <t>System supports handling various structured notes. Additional fields are available added in Security Master to capture the details/ terms of these products (underlying security/basket of securities, strike price, barriers, fixing date, etc.). These instruments will be traded using the securities module. All the events during the life cycle of these products (KIKOs, fixing, pay-out details) will be received from the Issuer (from upstream systems through interface).</t>
  </si>
  <si>
    <t>Integrity check will be performed if there are mismatches between Parent Order/ Trade and Child Orders/ Trades if Matching Parameter is defined. By default, system would check if the Nominal and Accrued Interest match. If check needs to happen for other fields Parameter needs to be set by specifying fields from SEC.TRADE and/ or SEC.OPEN.ORDER. If there is a mismatch between these fields, then the Log would get updated. System would allow authorisation of Child Trades only if there are no exceptions.</t>
  </si>
  <si>
    <t>Due to fluctuations in the market prices of securities, against which a facility has been granted, there is a possibility of the total loan or margin value of the portfolio going below the loan/ facility availed by the customer. Such a happening would trigger a “margin call” wherein a customer will be forced to bring in additional cash or securities into the portfolio or sell off some of the holdings to make good the deficit.</t>
  </si>
  <si>
    <t>Structured Note pay-out can be in cash or in the form of the underlying. The pay-out will be automatically processed only based on a pay-out routine specified in the Security Master or Sub Asset Type. The details of the pay-out including the coupon rate, amount, the underlying along with maturity price and ratio details for conversion can also be specified in SC.NOTE.PAYOUT. Based on the fixing details entered, the system will automatically create a DIARY (with payment date as the date in the record ID) and process Entitlements for all eligible holdings.</t>
  </si>
  <si>
    <t>This process describes the activities involved in processing of Incoming MT578 message from the Custodian. The details of MT578 are recorded with status "RECEIVED" or "ERROR" based on the receipt of mandatory fields. The Allegement Details can further be "Accepted/ Rejected" by the Account Owner so as to send the relevant Swift message to the custodian.</t>
  </si>
  <si>
    <t>Capital Gains (CG) Tax computation is enabled by setting suitable parameters in CG parameter. Based on the parameter setup, capital gain transaction base (CG.TXN.BASE) is built and maintained. CG related information is updated and stored in this file. This process enables the bank to correct/ update positions within the base as per tax authorities notifications from time to time.</t>
  </si>
  <si>
    <t>Execute Security Order - NDMA (WS)</t>
  </si>
  <si>
    <t>Initiate Direct Trade (Securities) (WS)</t>
  </si>
  <si>
    <t>Perform Pre Matching (WS)</t>
  </si>
  <si>
    <t>This process allows a RM to create a bulk order and allocate it to the customer portfolios through different methods, before sending the bulk order for execution.</t>
  </si>
  <si>
    <t>Create IPO Subscription Order (TAP) (Channel)</t>
  </si>
  <si>
    <t>Create Private Equity Fund Order (TAP) (Channel)</t>
  </si>
  <si>
    <t>This process supports the private equity fund order creation from the Front Office.</t>
  </si>
  <si>
    <t>Execute IPO Order (WS)</t>
  </si>
  <si>
    <t>Initiate Private Equity Investment (WS)</t>
  </si>
  <si>
    <t>This process describes the steps involved in authorising the initial commitment received from Front Office in the Back Office. The commitment to a Private Equity Fund is subsequently being formalised. The formalised commitment is usually invested over time as investments are identified. When the commitments are formalised, system updates the Security Position for the customer against this PE instrument.</t>
  </si>
  <si>
    <t>Create Bulk Order Allocation (TAP) (Channel)</t>
  </si>
  <si>
    <t>Perform Corporate Actions (Derivatives) (WS)</t>
  </si>
  <si>
    <t>5.1.1.6 Back value Processing</t>
  </si>
  <si>
    <t>5.2.1.6 Custody Operations</t>
  </si>
  <si>
    <t>5.6.1.1 Front Office - PMS (Channel)</t>
  </si>
  <si>
    <t>5.6.1.2 Front Office - PMS (GUI)</t>
  </si>
  <si>
    <t>This process is used to manage Broker (create/ amend) details.</t>
  </si>
  <si>
    <t>This process is used to manage Vendor (create/ amend) details.</t>
  </si>
  <si>
    <t>This process describes the steps involved in transfer of funds into ISA/JISA accounts/ deposits that adds up to the subscription balance. The subscription amount is tracked against the limit that is set at the arrangement level.</t>
  </si>
  <si>
    <t>Define Bank Event</t>
  </si>
  <si>
    <t>Define Social Media Application</t>
  </si>
  <si>
    <t>The process describes the activities of Order update. TAP will display the orders that can be updated.</t>
  </si>
  <si>
    <t>Retail Banking processes cover a range of service offerings such as Savings &amp; Current Accounts, Deposits, Consumer Loans, Mortgages, Teller Transactions - including Cash, Currency Exchange, Travellers Cheques etc.
Complete end-to-end processing is supported, from account opening/ loan origination,  establishing lending arrangement, setting up of sweeps/ standing orders, and account/contract maintenance and closure.</t>
  </si>
  <si>
    <t>Corporate Banking
Processes</t>
  </si>
  <si>
    <t>Digital Engagement
Processes</t>
  </si>
  <si>
    <t>4.1 Derivatives (Own book)</t>
  </si>
  <si>
    <t>6.1.2 User Setup</t>
  </si>
  <si>
    <t>6.1.4 Self Registration and User Profile</t>
  </si>
  <si>
    <t>6.4 Private Wealth Management Internet Banking Processes</t>
  </si>
  <si>
    <t>This Process details out the steps involved in approving a Campaign without A/ B Testing. A/B testing (sometimes called split testing) is comparing two versions (A and B), which are identical except for one variation that might affect a user's behaviour.</t>
  </si>
  <si>
    <t>Execute Settlement (Securities) (TAP)</t>
  </si>
  <si>
    <t>1.2.4 End of Day Activities</t>
  </si>
  <si>
    <t>10.2.1 Islamic Accounts</t>
  </si>
  <si>
    <t>10.2.2 Islamic Deposits</t>
  </si>
  <si>
    <t>10.4.1.2 Financial Ijara</t>
  </si>
  <si>
    <t>This process describes capturing of Non-deliverable Forward trade information details in Treasury Front Office and providing Trade data to back office for further processing.</t>
  </si>
  <si>
    <t>This process involves formulation of an appropriate Non-deliverable Forward Deal strategy after analysis of Current position and market information in Treasury Front Office.</t>
  </si>
  <si>
    <t>Execute Non-deliverable Forward Trade (TFO)</t>
  </si>
  <si>
    <t>Execute FRA Trade (TFO)</t>
  </si>
  <si>
    <t>This process involves formulation of an appropriate SWAP Deal strategy after analysis of current position and market information in Treasury Front Office</t>
  </si>
  <si>
    <t>This process describes the capturing of SWAP deal data in the Treasury Front Office and providing data to back office for further processing.</t>
  </si>
  <si>
    <t>Execute SWAP Trade (TFO)</t>
  </si>
  <si>
    <t>This process describes the activities involved in receiving requests for Inward credit transfers, cancellation of Inward remittances or rejection of Inward cancellation request. The messages received are validated and debulked before processing.</t>
  </si>
  <si>
    <t>Process Return of Remittance from Indirect Participant (SEPA)</t>
  </si>
  <si>
    <t>This process describes the steps involved in receiving a refund request from customer (debtor) or initiating a return request, processing and sending the request to the creditor bank. Based on configuration, returns are either processed automatically or can be done manually.</t>
  </si>
  <si>
    <t>This process describes the activities for rejecting direct debit collection request which is not yet settled. Rejection message (pacs.002) is sent by Debtor Bank for rejecting transaction which is in Warehouse.</t>
  </si>
  <si>
    <t>The process describes the activities of validating Direct Debit reversal requests (pacs.007). Based on the request received, Inward reversal request will be processed. Necessary validations (e.g. Identifying Original transaction, Balance check) are done before processing the request. Post validation, clearing account is debited and the funds are credited back to the customer (Debtor) account. If a payment is incorrect, it can be repaired or cancelled manually.</t>
  </si>
  <si>
    <t>Validate and Execute Direct Debit Reversal (SEPA DD)</t>
  </si>
  <si>
    <t>This process describes the steps involved in initiating an IPO order for equity or bond market. This supports a direct bid or a book building approach with a price discovery.</t>
  </si>
  <si>
    <t>1.3.4 Overdraft</t>
  </si>
  <si>
    <t>Amend Arrangement Account *</t>
  </si>
  <si>
    <t>Create Limit Arrangement Account *</t>
  </si>
  <si>
    <t>1.3.5 Retail Loan (Manual)</t>
  </si>
  <si>
    <t>1.3.6 Product Administration</t>
  </si>
  <si>
    <t>1.3.8 Loan Maintenance</t>
  </si>
  <si>
    <t>1.3.9 Common Processes</t>
  </si>
  <si>
    <t>Set Up Limit (Retail) *</t>
  </si>
  <si>
    <t>Initiate Intra-fund Switch Order</t>
  </si>
  <si>
    <t>This Process describes the activities associated with setting an arrangement as inactive/ dormant and resetting inactive/ dormant arrangement as active. In case there is no activity for a period specified in product condition, active accounts are automatically moved to inactive status. Dormancy status is automatically set for inactive arrangements with no activity (financial and non-financial) within the dormancy period set in product condition. Inactive/ dormant arrangements are automatically reset as active in case activity, defined as qualifying activities, is performed on the arrangement. Dormancy can also be set manually during inactive period and reset during dormancy period.</t>
  </si>
  <si>
    <t>Perform Automatic Closure of Dormant Account</t>
  </si>
  <si>
    <t>Initiate Inter-fund Switch Order</t>
  </si>
  <si>
    <t>This process describes capturing FRA trade information details in Treasury Front Office and providing trade data to back office for further processing.</t>
  </si>
  <si>
    <t>This process describes analysing the position, outstanding orders and market data to formulate trading strategy in Treasury Front Office.</t>
  </si>
  <si>
    <t>The process describes the activities of receiving and validating electronic reversal requests (pain.007). Based on the request, pacs.007 will be sent to debtor bank for collections settled earlier.</t>
  </si>
  <si>
    <t>Execute Direct Debit Collection Request (COELSA)</t>
  </si>
  <si>
    <t>Execute Direct Debit Return Request from Debtor Bank (COELSA)</t>
  </si>
  <si>
    <t>Execute Incoming Domestic Payments (COELSA)</t>
  </si>
  <si>
    <t>Execute Inward Credit Transfer (COELSA)</t>
  </si>
  <si>
    <t>Initiate Return of Settled Inward Direct Debit Collection (COELSA)</t>
  </si>
  <si>
    <t>Process Clearing Status Report (COELSA)</t>
  </si>
  <si>
    <t>This process describes the activities for the execution of 'electronically' received SEPA Clearing Status Report (pacs.002). If a negative response is received the related payment can be automatically returned/ cancelled or manually returned/ cancelled/ resubmitted by an operator. The status of the related message will be updated based on the response received.</t>
  </si>
  <si>
    <t>Receive and Execute Direct Debit Request (COELSA)</t>
  </si>
  <si>
    <t>The process describes the activities of receiving and validating electronic collection request (pain.008) to COELSA (Argentina Clearing). Based on the request, funds are credited to the customer. If a collection request is incorrect, it can be manually repaired or cancelled by an operator.</t>
  </si>
  <si>
    <t>Receive and Execute Domestic Payments (COELSA)</t>
  </si>
  <si>
    <t>Receive and Execute Immediate Transfer (COELSA)</t>
  </si>
  <si>
    <t>This Process describes the activities associated with closing a dormant arrangement. Customer is notified about impending closure of dormant account, if account has sufficient balance to cover notice charge. Dormant arrangement is automatically reset to active in case activities defined as qualifying activities are performed on the arrangement. Dormant arrangement with no activity is closed and account balance moved to internal accounts. Dormant Arrangements with Debit balance/ Blocked funds are retained in unclaimed status and not moved to closed status.</t>
  </si>
  <si>
    <t>1.4.2 Personal Consent Management (CDP)</t>
  </si>
  <si>
    <t>1.4.3 Open Banking Consent Management (PSD2)</t>
  </si>
  <si>
    <t>This process describes the steps involved in customer withdrawing or blocking Personal consent.</t>
  </si>
  <si>
    <t>13.2.2 Personal Consent Management</t>
  </si>
  <si>
    <t>Receive File from Clearing (Faster)</t>
  </si>
  <si>
    <t>Receive and Process Claim for Non-Receipt of Credit Transfer (SEPA)</t>
  </si>
  <si>
    <t>Receive and Process Request for Payment Date Correction (SEPA)</t>
  </si>
  <si>
    <t>Execute Non-Receipt Claim from Originating Bank (SEPA)</t>
  </si>
  <si>
    <t>Execute Fund Order (Manual)</t>
  </si>
  <si>
    <t>This process depicts activities related to repayment of a retail loan either by cash or account transfer. Option to repay through payment order is possible for scheduled repayments.</t>
  </si>
  <si>
    <t>Initiate Direct Debit Collection (MASAV)</t>
  </si>
  <si>
    <t>The process describes activities associated with the initiation of an outward direct debit mandate for loan repayment (MASAV). When debtor is not within the same bank, on claim date, system automatically generates and sends the Claim file to clearing. Accounting/ settlement entries will be posted on settlement date if, no negative response is received from debtor bank. Response is received from Debtor bank via clearing only when processing of direct debit is unsuccessful. When debtor is within same bank, claim will be honored or returned to the customer based on direct debit validation.</t>
  </si>
  <si>
    <t>Execute Direct Debit Return Request from Debtor Bank (MASAV)</t>
  </si>
  <si>
    <t>This process describes the activities involved in executing loan disbursement through Outward remittance. Necessary validations are done before processing the remittance. Post validation, payment will be processed if the creditor is within the same bank else will be forwarded to MASAV Clearing. If validation fails, transaction can be manually repaired or cancelled.</t>
  </si>
  <si>
    <t>Execute Outward Remittance Return Request from Creditor Bank (MASAV)</t>
  </si>
  <si>
    <t>Execute Request for Payment Date Correction from Originating Bank (SEPA)</t>
  </si>
  <si>
    <t>The execution desk will place the order in the Fund house after the order is captured by an Investment Representative and placed on a fund blotter. The execution details are updated and the security trade is created.</t>
  </si>
  <si>
    <t>This process depicts the creation of an arrangement to record consent, to use personal data of a customer under Customer Data Protection.</t>
  </si>
  <si>
    <t>Perform Pre-Closure of Deposit (AA)</t>
  </si>
  <si>
    <t>This process describes the activities involved in processing a return request of an outward remittance (MASAV). Based on the return request received, system will identify the loan disbursed previously through an outward remittance and reverse the entries posted.</t>
  </si>
  <si>
    <t>This process describes the activities involved in processing a return request of an outward direct debit (MASAV) initiated previously for a loan repayment. Based on the return request received, system will identify the loan repaid and reverse the entries posted.</t>
  </si>
  <si>
    <t>Process Return of Outward Remittance (CHAPS)</t>
  </si>
  <si>
    <t>Process Return of Settled Inward Remittance (Faster)</t>
  </si>
  <si>
    <t>Manage Customer Dormancy</t>
  </si>
  <si>
    <t>1.5 Collections</t>
  </si>
  <si>
    <t>This process describes the activities involved in processing Collection Item of a customer with overdue balance in loan or current account.</t>
  </si>
  <si>
    <t>This process describes the activities involved in processing collection item once an agreement is reached with the customer for settlement of overdue balance in loan or current account.</t>
  </si>
  <si>
    <t>Manage Corporate Event - Off Market Buyback</t>
  </si>
  <si>
    <t>Manage Corporate Event - Rights</t>
  </si>
  <si>
    <t>Manage Subscription Based Corporate Action</t>
  </si>
  <si>
    <t>Initiate Additional Rights Purchase</t>
  </si>
  <si>
    <t>Process Return of Outward Remittance (COELSA)</t>
  </si>
  <si>
    <t>The process describes the activities involved in processing return of Outward COELSA remittance. The original transaction is identified and funds credited back to the customer account.</t>
  </si>
  <si>
    <t>The process describes the activities involved in processing return of outward CHAPS remittance. The original transaction is identified and the funds will be credited back to customer account. If validation fails, transaction can be auto returned or manually repaired or returned.</t>
  </si>
  <si>
    <t>This process covers executing a Customer's request or an external/ internal request for setting/ removing restrictions for posting. The restriction can be set either at the Customer level or at an account level.</t>
  </si>
  <si>
    <t>This process describes the steps involved in processing return of settled Inward remittance. Upon successful validations, beneficiary is debited and fund is returned to Clearing. If validation fails, transaction can be manually repaired or cancelled.</t>
  </si>
  <si>
    <t>The Islamic bank enters with a client into a partnership in which they both invest in the equity capital required to finance a project. This process begins with the receipt of completed finance application from the Customer. It is acknowledged at the front office and forwarded to the credit department for capturing collateral details and setting up limit. Asset details are captured and approved for purchase of Asset/ Commodity.</t>
  </si>
  <si>
    <t>The process describes workflow for declaration of profit for Mudaraba finance.</t>
  </si>
  <si>
    <t>The Process involves receiving request for a finance contract amendment, reviewing the amendment request and executing the request. The amendments could be changes to Profit rates, Profit rate types, limit maintenance, past dues adjustments, past dues write-offs, changes to repayment schedules etc.</t>
  </si>
  <si>
    <t>This Process details out the steps involved in defining a new Content Type. In order to create a more flexible way to define an Output Location for a Campaign and for a Marketing Analyst to make better use of content in a communication sent to a Customer, Digital Engagement allows a higher level of customisation of the Output Content by introducing Content Types. Content Types helps to configure the settings of a particular content (image, video, text, Facebook) which will be displayed to the Marketing Analyst in order to edit the content.</t>
  </si>
  <si>
    <t>This Process details out the steps involved in defining a new Data Context. Data Contexts are data sources used in Campaigns, Profiles and Templates. The solution is released with out of the box static Customer Data Contexts (from Core Banking), calculated Customer Values Data Contexts (from Analytics and Reporting) and Channels Data Contexts (from UXP).</t>
  </si>
  <si>
    <t>This process describes activities associated with the creation of a corporate online channels user id. As part of this process, a new Online services arrangement ID is created first where details of Customer, Permissions (account and contract level ), Product Access and Daily Protection Limit are defined. Finally an external user ID is created by linking the Customer number to the arrangement ID. At this stage specific menu options are enabled depending on the role created.</t>
  </si>
  <si>
    <t>This process describes Payment Order creation through Online channels by an Online Channel Personal Banking user. Payment order refers to a directive to a bank from a bank account holder instructing the bank to make a payment or series of payments to another bank account.</t>
  </si>
  <si>
    <t>This process describes the steps involved in viewing deposit details and list of transactions pertaining to the deposit through online banking channels.</t>
  </si>
  <si>
    <t>This process indicates the activities involved in initiating a derivatives (futures &amp; options) order through internet banking.</t>
  </si>
  <si>
    <t>Customer Dormancy status is updated as "Dormant” or “Watchlist” based on the status of the underlying products owned by the customer. The customer is considered dormant when there is no customer induced activity with the bank or with any external systems for a pre-defined dormancy period. Products considered for dormancy determination are monitored during the period of inactivity and at the end of the period, the customer is considered dormant in case of no activity.</t>
  </si>
  <si>
    <t>Process describes activities for defining tranches to be drawn for Project Loans, record details of tranches such as revolving/ non-revolving, fees/ charges etc.</t>
  </si>
  <si>
    <t>Process enables monitoring of the Past due contracts by querying the Past Due report and perform the required follow up processes (ex: perform financial write-off, manual provisioning, past due adjustment etc.).</t>
  </si>
  <si>
    <t>This process details the steps of adding new account to a Live pool. New Account can be included to the Pool either as TR/ MTR/ CS/ SA Account. New Accounts are created in Pending Live status in existing pool and will be activated on the Go Live date set for accounts.</t>
  </si>
  <si>
    <t>Perform Matching of GPI Cover Confirmation with Inward Remittance</t>
  </si>
  <si>
    <t>Manage Activity for Erasure Process</t>
  </si>
  <si>
    <t>Route Security Orders</t>
  </si>
  <si>
    <t>Capture Customer Initiated Corporate Action</t>
  </si>
  <si>
    <t>This process describes the activities involved in purchase of approved commodity from Buy Broker. Post purchase, if possession of the commodity is taken by the Customer, the commodity cannot be returned/sold and Commodity Murabaha arrangement gets created. Based on the customer request, the contract gets updated and accounting entries generated</t>
  </si>
  <si>
    <t>Commodity Murabaha is a Murabaha based short term placement operation that involves the purchase and sale of commodities in the international exchange. The process begins with the receipt of completed finance application from the Customer. Bank will approve the purchase of commodity from Buy Broker after capturing the Collateral and setting up limit.</t>
  </si>
  <si>
    <t>This process describes the activities involved in purchasing additional Rights by the customer. Post receiving corporate event notification, customer can decide to purchase additional rights directly from market or from custodian. Security trade gets created for the additional Rights purchased. Additional Rights purchased can be exercised along with elected nominal in Entitlement.</t>
  </si>
  <si>
    <t>This process is used to purchase the approved asset from the Vendor. The contract workflow status is modified from "Approval " to "Purchase".</t>
  </si>
  <si>
    <t>The process describes the reverse and replay mechanism used to amend or reverse an activity from any date since the contract started. AA allows throughout the term of a finance, to do any backdated activities starting from the loan start date. Any activities that have taken place will be reversed and replayed.</t>
  </si>
  <si>
    <t>This process describes the activities involved in trading in Syndicated Lending. For example, during the lifetime of a syndicated loan it is common practice for members of the syndicate to sell either part or all of their participation. This could lead to a new entrant as participant into the syndicate. The following scenarios are possible: -Buying and selling of contingent portion (Undrawn portion of facility) -Buying and selling of non contingent (Drawn portion of facility) portion with consideration. -Full or partial buy/ sell. -Entry of new participant in the syndicate or exit of a participant.</t>
  </si>
  <si>
    <t>This process supports the manual creation of various type of orders, by the ability to create orders one-by-one via the single order creation process.</t>
  </si>
  <si>
    <t>Top up and Sale/ Notice of Retention Corporate action provides opportunity for the shareholders with unmarketable share parcels (Company shares valued at less than predefined amount at close of trade on the Record Date) to sell or increase their holdings without incurring brokerage or handling costs. This process describes the steps involved in processing such events. When Diary is captured, criteria for checking the Qualifying holding is defined as an Amount or Nominal against Holding Value. Unlike other corporate actions events, this event generate entitlements only for customers who hold unmarketable share parcels. Customers can elect any options like "Top up", "Sell", "Retain/ Lapse". If no option is elected before cutoff date, "Sell" option is considered as the default option and the unmarketable holdings are sold crediting the customer with Sale proceeds on a Pay date. On Cutoff date, the customers' positions are again validated with respect to unmarketable holdings and if the holdings become marketable, the corresponding entitlement can be deleted manually by the user. When the customer opts for buying more security to make it marketable, upfront debit is made on the election date and the security position is updated on Pay date of the event.</t>
  </si>
  <si>
    <t>This process describes the activities involved in in routing orders based on regulatory requirements like US – Regulation R. In a multi book set up, Order received in a branch company is routed to another branch company for execution and subsequently trade gets created based on parameter set up at company or system level.</t>
  </si>
  <si>
    <t>This process describes the activities for Customer creation, using a PW Process. Once the required background checks are completed, the user creates/ updates the Customer record. Subsequently, scanned documents are attached to the customer record. This process is repeated for all associated entities.</t>
  </si>
  <si>
    <t>The process describes activities involved in maintaining manual disbursement in commodity Murabaha Finance.</t>
  </si>
  <si>
    <t>The process describes activities involved in maintaining scheduled disbursement in commodity Murabaha Finance.</t>
  </si>
  <si>
    <t>Execute Buy Broker Settlement (IF)</t>
  </si>
  <si>
    <t>Execute Sell Broker Settlement (IF)</t>
  </si>
  <si>
    <t>Perform MiFID Profiling (TAP) (Channel)</t>
  </si>
  <si>
    <t>This process shows the different steps performed when profiling a customer from a MiFID perspective.</t>
  </si>
  <si>
    <t>4.7 Non-Deliverable Forward</t>
  </si>
  <si>
    <t>Execute Non-deliverable Forward Trade (NDF)</t>
  </si>
  <si>
    <t>4.8.2 Trading Execution</t>
  </si>
  <si>
    <t>4.8.3 Confirmation</t>
  </si>
  <si>
    <t>4.8.4 Settlement</t>
  </si>
  <si>
    <t>4.9 Bonds</t>
  </si>
  <si>
    <t>4.9.2 Administration</t>
  </si>
  <si>
    <t>4.10 Internal Account Reconciliation</t>
  </si>
  <si>
    <t>4.10.1 Initiation</t>
  </si>
  <si>
    <t>4.10.2 Maintenance</t>
  </si>
  <si>
    <t>4.10.3 Process</t>
  </si>
  <si>
    <t>4.11 Over The Counter</t>
  </si>
  <si>
    <t>4.11.1 Administration</t>
  </si>
  <si>
    <t>4.12 Treasury - Front Office (TFO)</t>
  </si>
  <si>
    <t>4.12.1 Position and Market Analysis (TFO)</t>
  </si>
  <si>
    <t>4.12.2 Trade Initiation (TFO)</t>
  </si>
  <si>
    <t>This process describes capturing of Non-deliverable Forward trade information details in Front Office and providing Trade data to back office for further processing.</t>
  </si>
  <si>
    <t>4.7.3 Confirmation</t>
  </si>
  <si>
    <t>4.7.4 Settlement</t>
  </si>
  <si>
    <t>Execute Settlement (NDF)</t>
  </si>
  <si>
    <t>This process describes the settlement of an NDF deal by applying the settlement rate (on the rate fixing date) and arriving at the difference between notional amount and settlement amount.</t>
  </si>
  <si>
    <t>Instruments like Convertible Bonds or Bonus Options allows the holder to initiate conversion or opt for bonus option. This process describes the activities involved in capturing the details of such initiation placed by customer. Once the details are captured and authorised, DIARY record gets generated automatically for the specific type of event.</t>
  </si>
  <si>
    <t>This process describes the dealer activity of providing the FX rates (Execution Rate) for Lim order deals requested internally.</t>
  </si>
  <si>
    <t>Process Internal Rate Request (Forex)</t>
  </si>
  <si>
    <t>Validate and Execute Outward Remittance (BECS)</t>
  </si>
  <si>
    <t>Execute Inward Credit Transfer (BECS)</t>
  </si>
  <si>
    <t>Process Refusal of Inward Credit Transfer Return Request (BECS)</t>
  </si>
  <si>
    <t>Execute Inward Direct Debit Collection Request (BECS)</t>
  </si>
  <si>
    <t>This process describes the activities involved in execution of Inward credit transfer received from Direct Participant. Post validation, funds will be credited to the beneficiary. If validation fails, transaction is manually repaired or returned and a return file is sent to Direct Participant.</t>
  </si>
  <si>
    <t>The process describes activities associated with execution of the Inward BECS Direct Debit received from Direct Participant. Upon successful validation, Inward collection will be processed and funds are debited from Customer.</t>
  </si>
  <si>
    <t>This process describes the activities involved in performing drawdown of a facility by creating loan arrangement under the facility based on allowed products set. A drawdown cannot be performed for a blocked facility or in case of insufficient funds. Loan arrangement details along with repayment method and disbursement type are captured based on customer request.</t>
  </si>
  <si>
    <t>This process describes the activities involved in closure of a facility arrangement. The closure details are captured and simulated for outstanding balance in facility and underlying loans. A fund transfer is initiated for repayment of facility outstanding (Fee and loan outstanding). Post settlement the underlying loan arrangements and facility are auto closed.</t>
  </si>
  <si>
    <t>Execute Rebate Payment (IF)</t>
  </si>
  <si>
    <t>Process Return of Outward Remittance (BECS)</t>
  </si>
  <si>
    <t>This process involves formulation of an appropriate Non-deliverable Forward Deal strategy after analysis of Current position and market information.</t>
  </si>
  <si>
    <t>5.2.1.1.1 Common Order Placement</t>
  </si>
  <si>
    <t>5.2.1.1.2 Miscellaneous Orders</t>
  </si>
  <si>
    <t>5.2.1.1.3 Private Equity</t>
  </si>
  <si>
    <t>5.2.1.1.4 Securities Orders</t>
  </si>
  <si>
    <t>5.2.1.1.5 STP Equities</t>
  </si>
  <si>
    <t>This process describes the activities involved in processing a BECS outward remittance request. Necessary validations are performed before forwarding the remittance to Direct Participant. If the request is incorrect, it is cancelled or amended and a response sent back to customer.</t>
  </si>
  <si>
    <t>The process describes the activities associated with processing Refusal of Inward Credit Transfer Return Request. When return of Inward Credit Transfer is not accepted, the refusal received from Direct Participant is matched with the return transaction and the funds credited to the beneficiary customer.</t>
  </si>
  <si>
    <t>Islamic Banking
Processes</t>
  </si>
  <si>
    <t>Receive File from Clearing (InterGIRO2)</t>
  </si>
  <si>
    <t>Execute Inward Credit Transfer (InterGIRO2)</t>
  </si>
  <si>
    <t>Execute Call Back - Cancellation of Credit Transfer (InterGIRO2)</t>
  </si>
  <si>
    <t>Manage Corporate Event - Takeover</t>
  </si>
  <si>
    <t>Open Term Deposit (TAP) (Channel)</t>
  </si>
  <si>
    <t>Open Fiduciary Deposit (TAP) (Channel)</t>
  </si>
  <si>
    <t>The process describes the activities involved in processing of cancellation/ call back of outward InterGIRO2 remittance. Based on the confirmation received, the cancellation request is processed. If the recall is accepted, the customer is credited back else, the customer is informed on the recall rejection.</t>
  </si>
  <si>
    <t>This process describes activities involved in the transfer of positions. System can be parameterized to specify whether customer specific or flat commission per transaction to be calculated. Commission would be debited from the account of "From Portfolio" of the respective Position Transfer transaction.</t>
  </si>
  <si>
    <t>This process describes the activities involved in opening a facility arrangement account for a customer. Facility arrangement is an agreement to provide the customer an agreed amount over an agreed term. During the tenor of the facility, the agreed amount can be utilised by the customer by performing drawdown on the facility and creating loan arrangements. A customer is allowed to draw multiple times (within allowed facility limits) with each drawing having its own unique conditions.</t>
  </si>
  <si>
    <t>This strategy allows the management of the investment objective at instrument levels. It can include an asset class grid to ease the settings of instrument objectives by deriving the investment objectives at asset class level.</t>
  </si>
  <si>
    <t>This process describes the payment of rebate amount provided by dealer/ vendor on actual cost of the asset during purchase of the asset from dealer/ vendor.</t>
  </si>
  <si>
    <t>This process describes the activities involved in executing return of Outward remittance received from Direct Participant. Return request can be accepted only if the transactions is within acceptance days. Return is then processed and credited back to the customer.</t>
  </si>
  <si>
    <t>This process describes activities involved in creation of a Term deposit via TAP (Channel). Based on the compliance check, existing orders get modified for blocking issue and clarification captured for non-blocking issues before creation of Term deposit.</t>
  </si>
  <si>
    <t>This process describes activities involved in creation of a Fiduciary deposit via TAP (Channel). Based on the compliance check, existing orders get modified for blocking issue and clarification captured for non-blocking issues before creation of Fiduciary deposit.</t>
  </si>
  <si>
    <t>The process describes the activities involved in processing the cancellation of outward remittance for GPI enabled bank. Based on the confirmation received, the cancellation request is processed and customer is informed. If the recall is accepted, the customer is credited after sighting the credit in the bank's Nostro account.</t>
  </si>
  <si>
    <t>Receive Recall Request of Inward Remittance from GPI Tracker (PP)</t>
  </si>
  <si>
    <t>Receive and Execute Outward Remittance (SYGMA)</t>
  </si>
  <si>
    <t>This process describes the activities of receiving and executing Outward SYGMA RTGS credit transfer. Necessary validations (e.g. duplicate check) are performed and if the validation is successful, an MT103/ MT202 message is generated to clearing and the customer is informed. If validation fails, transaction can be manually repaired or cancelled.</t>
  </si>
  <si>
    <t>Execute Inward Credit Transfer (SYGMA)</t>
  </si>
  <si>
    <t>Process Return of Bill Payment (BPAY)</t>
  </si>
  <si>
    <t>This process describes the activities involved in receiving &amp; executing return of Bill Payments (BPAY) from Clearing. Post successful validation, funds are credited to the customer and customer is informed. If validation fails, transaction is manually repaired or cancelled.</t>
  </si>
  <si>
    <t>This process describes, how contacts that have been logged, can be amended in Transact.</t>
  </si>
  <si>
    <t>This process describes the activities involved in capturing Trade and Transfer when Transact acts as a Custodian. It includes sending confirmation of trade and transfer, status update and related advices to the Customer or External Asset Manager (EAM) when subscribed to receive the same.</t>
  </si>
  <si>
    <t>Based on the broker confirmation the trade will be authorised automatically in Transact via an incoming SWIFT message and system generates Customer confirmation, broker advice and custodian messages. Based on Broker conditions set, aggregated messages will be received which will get matched with Aggregation and Reconciliation records generated by the system. Once Reconciliation is matched, underlying trades will be automatically authorised. This will trigger aggregated settlement instructions which will match and settle individual settlement records.</t>
  </si>
  <si>
    <t>When Corporate Actions are initiated by an Issuer, the same is captured in Transact. This can be done automatically on receipt of an Inward SWIFT Message (MT564/ MT568) or can be manually captured. For Corporate Action events like Rights with oversubscription or Tender Offer, "Upfront Payment" needs to be manually set as "Yes" in Diary to debit the customer account upfront when the option is elected. When Diary is automatically created through Inward SWIFT Message, "Upfront Payment" flag will default from its corresponding Diary type.</t>
  </si>
  <si>
    <t>FX Order details will be capture in TAP. The necessary validations and compliance checks are performed, before the order is released for order processing. The FX rate will be assigned and the positions are updated accordingly (TAP/ Transact).</t>
  </si>
  <si>
    <t>This process shows the steps involved in executing an order through Non-Direct Market Access in Wealth Suite. In this process, Transact acts as the back end to process and send the order to the market for execution. After an order has been initiated, a SWIFT Message is sent to the counterparty. After the execution, a SWIFT message will be received. The orders are updated in TAP based on the information received from Transact.</t>
  </si>
  <si>
    <t>The process is triggered when the customer requests for exercising Swaption. If Swaption is exercised or assigned, Transact creates a closeout record. If the SWAP trade is already created, it needs to be committed or a new SWAP trade has to be manually created. Closeout record needs to be manually authorised.</t>
  </si>
  <si>
    <t>This process describes the steps involved in Cancellation of Subscription. Investors have the right to cancel their subscription to a fund within a certain number of days from the date of purchase of units (cancellation/ cooling period). Cooling period is defined in Security Master. On triggering the cancellation of subscription, Transact creates a relative Fund Redemption order for the same Customer, Nominal as defined in subscription trade. Charges for this cancellation can also be levied on the customer when the same is defined in the Multiple Charges setup.</t>
  </si>
  <si>
    <t>An order for Buy/ Sell of an Exchange Traded Derivatives Contract, is captured by Front Office. Any constraints on Trading are automatically checked by Transact before transmission to the Market.</t>
  </si>
  <si>
    <t>This process describes capturing of Intra-fund switch order (switching between funds of the same fund house) details in Transact based on the type of switch (buy-driven or sell-driven). If it is a Buy-driven switch, subscription order is captured first and then the redemption order. If it is a Sell-driven switch, redemption order is captured first and then the subscription order. Number of orders to be captured is based on “No of orders in switch” set in master order. All orders in a switch will have a common reference in switch reference field. A single switch message containing both redemption and subscription legs will be transmitted and all linked orders will be marked as transmitted. Intra-fund switch does not involve any cash movement from or to an investor. Order is ready for execution once order detail captured in Transact. Only minimal details need capturing and validated at the time of such order capture and all other input/ validations taken care by the Trade Execution Desk.</t>
  </si>
  <si>
    <t>This process describes the activities for Order placement. Order details can be captured in Transact - Internet Banking and will be placed for execution.</t>
  </si>
  <si>
    <t>Once the order details are captured in Transact, the trade is available for execution by the Trade Execution Desk. Only minimal details need to be captured and validated at the time of such order capture and all other input/ validations will be taken care of by the Trade Execution Desk.</t>
  </si>
  <si>
    <t>Order Details are captured in Transact. If necessary, Manager approval will be provided. System checks (e.g. validations) will be performed and an MT502 SWIFT message will be automatically sent.</t>
  </si>
  <si>
    <t>Composite Portfolio Performances can be displayed and reported in Transact. A composite name has to be defined and Portfolios with similar investment strategies can be plugged to the composite. It is possible to define Composites to comply with GIPS standards.</t>
  </si>
  <si>
    <t>Transact allows the user to capture details of prospects and maintain the relationships between customers using this process. Prospects can be individuals or corporate entities.</t>
  </si>
  <si>
    <t>Portfolios that are in some way related to each other, can be grouped in order to study Performance for the group as a whole. These Transact functions do not require an authorisation.</t>
  </si>
  <si>
    <t>Transact provides a facility for customer to subscribe for various types of alerts such as balance alerts etc. This process describes the activities for subscribing, unsubscribing and amending already subscribed alerts.</t>
  </si>
  <si>
    <t>This process describes how Front Office staff manages customer contacts with Transact Contact Management functionalities. Users can record call reports, schedule appointments, record tasks and/or register complaints.</t>
  </si>
  <si>
    <t>Mandatory Corporate Actions are captured in Transact. The system automatically calculates all positions that are entitled to receive the benefit of the event. Once the entitlement is authorised, system automatically generates accounting entries and/or updates positions as the case maybe. If the event is an optional event, the client's preference has to be captured before authorisation.</t>
  </si>
  <si>
    <t>Corporate Actions are captured in Transact. This process describes "Voluntary" and "Mandatory with Choice" events. The system automatically calculates all positions that are entitled to receive the benefit of the event. Once the entitlement is authorised, system automatically generates accounting entries and/or updates positions as the case maybe. If the event is an optional event, then client's preference has to be captured before authorisation.</t>
  </si>
  <si>
    <t>The process describes the activities for uploading images and documents for customers into Transact.</t>
  </si>
  <si>
    <t>This process indicates the activities involved in case the Customer places a request with Transact bank for execution of trades for securities held outside the system i.e. securities maintained with the custodian other than the Transact Bank. Such trade request are processed through in-house orders. Appropriate SWIFT messages and confirmations are sent to Customer, custodian and brokers.</t>
  </si>
  <si>
    <t>In order to manage campaigns in Transact, users needs to perform a series of administrative functions to set up the basic parameters that will be used when new campaign is launched. These also include the definition of opportunities, setting up of rules and definition of workflows.</t>
  </si>
  <si>
    <t>This process describes the activities of Contract Maturing, Individual Fixing of option, Fixing structure of option, Contract Unwind and Contract Reverse by a Transact user.</t>
  </si>
  <si>
    <t>The process describes the Generic flow between the bank (Transact) and the Online Channels Corporate user.</t>
  </si>
  <si>
    <t>Transactions executed by the Customer in portfolio outside Transact Bank can be captured using third party orders process.</t>
  </si>
  <si>
    <t>After the third party custody orders are captured, the trades are captured in Transact using third party custody trades process.</t>
  </si>
  <si>
    <t>This process is for mapping the chart of accounts of a Bank to the Transact GL structure.</t>
  </si>
  <si>
    <t>This process outlines activities to capture Corporate Actions that affect Derivatives Contracts. Once the event is input and authorised, Transact automatically updates any change to the Contract and also updates Customer positions accordingly.</t>
  </si>
  <si>
    <t>This process outlines activities to capture Corporate Actions that affect Derivatives Contracts. Once the event is input and authorised, Transact automatically updates any change to the Contract and also updates Customer positions accordingly. The position in TAP will also be updated.</t>
  </si>
  <si>
    <t>Whenever customer assets have to be transferred in/out, then asset transfer is initiated in Transact. Similarly, fund can be transferred in/ out separately via funds transfer. The existing custodians/ banks are instructed through SWIFT to transfer assets/ funds.</t>
  </si>
  <si>
    <t>Customer's external security holding details are captured by the Transact. This is a mirror image of the security holdings of the client with non Transact custodians. This helps the Relationship Manager to take an informed decision about investment strategy for the Transact clients.</t>
  </si>
  <si>
    <t>SWIFT has introduced a new message type expressed in XML syntax, which is more flexible and easier to implement than the previous generation of message types (MT). These message types are developed in accordance with ISO 20022 standard and are referred to as MX messages. Transact supports MT502, MT509 and MT515 MX messages.</t>
  </si>
  <si>
    <t>Transact supports purchase of instruments whose Price/NAV is not known at the time of subscription. For such instruments (e.g. Private Equity, Hedge Funds, certain Real Estate Funds), the NAV will not be computed daily and NAV computation cycles will be monthly or quarterly. To support initial subscription for such instruments, a dummy wash financial instrument is created with a NAV/price of 1 currency unit. Order is placed for this security, for the upfront subscription amount. When the actual NAV is received, system re-computes the Units and updates the customer position for the Original instrument.</t>
  </si>
  <si>
    <t>Management and safekeeping fees can be parameterised in Transact. The fees are calculated by the system and these can be amended if required. Fees can be Posted automatically by the system on due date or manually posted.</t>
  </si>
  <si>
    <t>The request for trading is received from the customer. Customer and Portfolio Information will be checked in Transact before Initiating the Trade.</t>
  </si>
  <si>
    <t>Periodically, Nostro accounts as in Bank's books will need to be reconciled with the account statement sent by the Nostro Bank. The statements may be received via SWIFT or physically and Transact automatically matches items and any unmatched items will need to be investigated.</t>
  </si>
  <si>
    <t>This process describes the activities for setting up 'bank defined" utility beneficiaries in Transact. This beneficiaries can then be selected for customer payments.</t>
  </si>
  <si>
    <t>Broker is opened as a Customer in Transact. As part of this process, data relating to securities, Account creation (if required) and settlement instructions are captured.</t>
  </si>
  <si>
    <t>Customer profile types are defined and set up in Transact with specific profiling rules being recorded for each profile type. During the creation of a customer record these profiles are linked to a customer.</t>
  </si>
  <si>
    <t>Depository or Custodian is opened as a Customer in Transact. As part of this process, data relating to the custodian's Securities, Nostro accounts and SWIFT address are updated.</t>
  </si>
  <si>
    <t>The process is triggered when credit default occur. If credit default needs to be settled, CDS should be exercised and Transact creates a closeout record. Closeout record has to be manually authorised to settle the amount. If the Underlying Security (Bond) is held within the Bank a Security Transfer can be done manually.</t>
  </si>
  <si>
    <t>This process describes the settlement of Usance/Sight LC Payments. The margin amount held in provision account is reversed automatically to the extent of proportionate amount of bill received under LC. Based on parameter setup, settlement is either through Transact or Temenos Payment Hub or any other Payment system.</t>
  </si>
  <si>
    <t>This process highlights activities associated with honouring a reimbursement claim received from the negotiating bank, for sight payment LCs. The documents are subsequently received by the LC issuing bank. Based on parameter setup, settlement is either through Transact or Temenos Payment Hub or any other Payment system.</t>
  </si>
  <si>
    <t>An exotic option can either trigger a contract or expire it, but this has to be manually handled in Transact. E.g. – Knockout option – If the underlying price touches the knock out price (set during contract initiation), then the user has to manually select the knock out option- which will expire the contract. Similarly in case of triggering exotic, it will initiate the contract. It is possible to define multiple exotics for a particular contract.</t>
  </si>
  <si>
    <t>For exotic options, if the Trigger is reached, this has to be manually input in Transact. E.g. for a Knockout option, when the knockout price is reached, Investment representative will have to input that the option is triggered. Once triggered, the option will automatically become live or expire as the case maybe.</t>
  </si>
  <si>
    <t>Revaluation of Derivatives Margins is calculated by Transact and if margins are insufficient, necessary accounting entries are passed to recover the shortfall from Customers.</t>
  </si>
  <si>
    <t>Processes for setting up basic Transact parameters such as Interest, Fees and Tax related parameters.</t>
  </si>
  <si>
    <t>Process Upfront Payment Transaction - Direct</t>
  </si>
  <si>
    <t>This process describes activities involved in handling fund orders prior to NAV calculation without creation of upfront securities master. The client is debited upfront with the order amount and portfolio updated with Upfront amount debited to avoid decrease in customer portfolio valuation. Post receipt of NAV, nominal gets calculated and security position is updated.</t>
  </si>
  <si>
    <t>Capture Personal Asset</t>
  </si>
  <si>
    <t>This process describes the activities involved in capturing Personal Assets details. Personal Assets (Property, Car, Art collections, Racehorse, Insurance bonds, Cash account in External Bank etc.) are assets that are unique to an individual portfolio. Capturing of Non-shared Personal assets automatically creates a unique Security Master for each of the Personal Asset held by the Portfolio. For shared Personal assets an External Asset Security Master needs to be manually created prior to capturing of Personal Asset details. System does not update the security position for these assets at this stage.</t>
  </si>
  <si>
    <t>Manage Personal Asset</t>
  </si>
  <si>
    <t>Execute Call Back - Cancellation of Credit Transfer through GPI tracker (PP)</t>
  </si>
  <si>
    <t>Multiple relationships between customer and/ or person entities are defined in PARTY.RELATIONSHIP. For each party relationship, it will be possible to define the direction (Parent/Child/Other entity) of the relationship. This party relationship can be imported into CUSTOMER.GROUP based on the Party ID. This process describes the steps involved in amending customer relationships defined in PARTY.RELATIONSHIP and the automatic creation of CUSTOMER.GROUP.CHANGE with the proposed addition or deletion of customer from the associated CUSTOMER.GROUP. The proposed addition or deletion of customers in the group can be accepted or rejected in CUSTOMER.GROUP.CHANGE. Transact service will update CUSTOMER.GROUP with proposed changes that were accepted in CUSTOMER.GROUP.CHANGE</t>
  </si>
  <si>
    <t>Based on the broker confirmation the trade will be authorised automatically in Transact via an incoming SWIFT message and system generates Customer confirmation, broker advice and custodian messages. Based on Broker conditions set, aggregated messages will be received which will get matched with Aggregation and Reconciliation records generated by the system. Once Reconciliation is matched, underlying trades will be automatically authorised and TAP will be also be updated accordingly. This will trigger aggregated settlement instructions which will match and settle individual settlement records.</t>
  </si>
  <si>
    <t>This process describes the steps involved in capturing a Forex deal between the Bank and its Counterparty or Broker in Front Office (TFO -Treasury Front Office) which then flows to the Back Office (Transact) for further processing such as Verification, Authorization, Confirmation and Settlement.</t>
  </si>
  <si>
    <t>This process deals with the settlement of deals. On the settlement date, the deal could be settled either on a contractual basis or actual. Contractual deals are effectively “no fail” trades and when a contract is completed, it is assumed that settlement has taken place. In case of actual deals, positions are updated on completing the transaction as "unsettled" and accounting is raised to suspense, till the settlement of security/cash is done. All accounting and position entries will be automatically updated by Transact. For all aggregated settlement instructions received, the incoming settlement status messages and the settlement confirmation messages will also be aggregated. If there is a match against a reconciled record, the status as in the incoming message will be updated for all the underlying individual trades. On receipt of settlement confirmations, in case of a match, the underlying individual trades will be identified and settled. Settlement will be full or partial based on the match.</t>
  </si>
  <si>
    <t>Order Details can be captured in Transact and order can be directly placed in the market. Since the order is directly placed without going through the Trade Execution Desk, all details will need to be captured and all system checks (e.g. validations) will be performed. If necessary, Manager approval will be provided.</t>
  </si>
  <si>
    <t>This process describes the activities involved in processing cancellation request (e.g. camt.056) from the remitting bank for a remittance sent by them. The return is processed if the request is matched (manually or automatically) with the original transaction else the request is rejected and a cancellation message (camt.029) sent.</t>
  </si>
  <si>
    <t>The process describes the activities involved in processing cancellation request (e.g. camt.056) from the remitting bank for a remittance sent by them. The related payment can be returned automatically or the operator can provide approval for the return before remitting back the funds. If a payment cannot be returned a cancellation message (camt.029) will be sent. If the beneficiary is not within the same bank, the request is forwarded to the Indirect Participant (IP).</t>
  </si>
  <si>
    <t>Create Facility Arrangement Account (Retail)</t>
  </si>
  <si>
    <t>Perform Drawing Under Facility Arrangement Account (Retail)</t>
  </si>
  <si>
    <t>Close Facility Arrangement Account (Retail)</t>
  </si>
  <si>
    <t>Amend Facility Arrangement Account (Retail)</t>
  </si>
  <si>
    <t>This process describes the activities involved in receiving &amp; executing a bill payment from customer. Necessary validations are performed before processing the payment. Upon successful validations, necessary entries raised and customer informed. If validation fails, transaction is manually repaired or cancelled.</t>
  </si>
  <si>
    <t>Receive and Execute Outward Remittance (LKRTGS)</t>
  </si>
  <si>
    <t>This process describes the activities involved in executing Srilankan RTGS outward payment initiated by the Customer or bank. Necessary validations (e.g. duplicate check) are performed and if a payment is incorrect, it can be automatically cancelled else manually repaired or cancelled. Upon successful validations, an MT103/ MT202 message is generated to clearing and the funds are sent to clearing.</t>
  </si>
  <si>
    <t>Execute Inward Credit Transfer (LKRTGS)</t>
  </si>
  <si>
    <t>Receive and Execute Outward Remittance (VIBER)</t>
  </si>
  <si>
    <t>Execute Inward Credit Transfer (VIBER)</t>
  </si>
  <si>
    <t>Process Return of Outward Remittance (VIBER)</t>
  </si>
  <si>
    <t>This process describes the activities for the execution of inward VIBER credit transfer. Necessary validations (e.g. duplicate check) are performed. Upon successful validations, funds are credited to the beneficiary. If validation fails, transaction can be automatically or manually returned.</t>
  </si>
  <si>
    <t>Execute Inward Bulk Credit Transfer (PP)</t>
  </si>
  <si>
    <t>This process describes the activities for the execution of Bulk payments received in favour of clients. Post validation, funds will be credited to beneficiary. If a payment is incorrect it can be automatically cancelled else manually repaired or cancelled.</t>
  </si>
  <si>
    <t>5.2.1.7 Tax Lots</t>
  </si>
  <si>
    <t>Initiate Capital Gain Calculation</t>
  </si>
  <si>
    <t>Manage Capital Gain Rebuilder</t>
  </si>
  <si>
    <t>This process describes the adjustment of various components (Cost and Nominal) of Tax Lots created out of Purchase(Credit) transaction of Securities. Cost adjustments are done through Increase / Decrease Cost transaction in CG Adjust Base. Nominals along with Cost are adjusted through Reconstruct/ Rollover transaction in CG Adjust Base. These adjustments are generally performed on the Tax Lots created / maintained for the Securities held with External Custody. When Tax lots are migrated from legacy system, the same can be adjusted with respect to the transaction breakup (multiple purchase / sale) using the application CG Enhanced Manual Input.</t>
  </si>
  <si>
    <t>This process describes the activities for the execution of inward SYGMA RTGS credit transfer in favour of clients. Upon successful validations, entries are raised and customer is informed. If validation fails, transaction can be manually repaired or cancelled.</t>
  </si>
  <si>
    <t>Process Loan Restructuring (AA)</t>
  </si>
  <si>
    <t>This process describes the activities involved in restructuring of a loan. A new technical arrangement is created for the negotiated terms and conditions while keeping the initially agreed conditions between the Customer and the Bank in the existing loan arrangement. Once the restructure activity is trigged, based on court confirmation, the request is either approved or rejected. If the request is approved, the loan is restructured by creating a new technical loan arrangement.</t>
  </si>
  <si>
    <t>2.3.8 Corporate Lending Facility</t>
  </si>
  <si>
    <t>2.3.8.1 Corporate Deal</t>
  </si>
  <si>
    <t>Close Deal Arrangement (Corporate)</t>
  </si>
  <si>
    <t>2.3.8.2 Corporate Facility</t>
  </si>
  <si>
    <t>Create Goal Based Portfolio (TAP) (Channel)</t>
  </si>
  <si>
    <t>Create OTC Derivative Order (TAP) (Channel)</t>
  </si>
  <si>
    <t>This process describes the activity involved in capturing OTC Derivatives Contract like OTC and Exotic options in TAP. The necessary validations and compliance checks are performed, before the order is released for order processing.</t>
  </si>
  <si>
    <t>Initiate Structured Products and Derivative Order (TAP) (Channel)</t>
  </si>
  <si>
    <t>Create Structured Notes Order (TAP) (Channel)</t>
  </si>
  <si>
    <t>This process describes the activity involved in capturing and validations of structures Notes order. System performs compliance check, before the order is released for order processing. A structured note is an over the counter derivative with hybrid security features which combine payoffs from multiple ordinary securities, typically a stock or bond.</t>
  </si>
  <si>
    <t>Create Person (TAP) (Channel)</t>
  </si>
  <si>
    <t>Manage Interaction Report (TAP) (Channel)</t>
  </si>
  <si>
    <t>Manage Document (TAP) (Channel)</t>
  </si>
  <si>
    <t>Create Interaction Report (TAP) (Channel)</t>
  </si>
  <si>
    <t>Create Economic Group (TAP) (Channel)</t>
  </si>
  <si>
    <t>This process describes the activity involved in updating the goal details, personalizing the goal by updating target segments, updating investment restriction and cancelling goal via TAP.</t>
  </si>
  <si>
    <t>This process describes the steps involved in creating a person via TAP. Contact information, regulatory and profiling details are captured for person creation.</t>
  </si>
  <si>
    <t>This process describes the steps involved in amending/ updating a client/ group via TAP. Regulatory details, profiling details, client information details can be modified/ updated based on client request.</t>
  </si>
  <si>
    <t>This process describes the steps involved in managing an interaction report via TAP. The report can be modified, updated or deleted based on follow-up meeting with client.</t>
  </si>
  <si>
    <t>This process describes the steps involved in creation of an interaction report via TAP. Communications with client is captured and assigned to users for further action.</t>
  </si>
  <si>
    <t>This process describes the activities involved in capturing and validating asset transfer initiated by client/ bank via TAP. The transfer quantity is captured and moved to back office for processing.</t>
  </si>
  <si>
    <t>This process describes the activities involved in capturing and validating cash transfer initiated by client/ bank via TAP. The transfer amount is captured and moved to back office for processing.</t>
  </si>
  <si>
    <t>This process describes the activity involved in capturing of client initiated goal based portfolio creation via TAP. The risk, time horizon, initial and periodical investment are captured to achieve the goal target. On goal confirmation, investment proposal is generated, portfolio gets created and standing order is set up for periodic deposits.</t>
  </si>
  <si>
    <t>This process describes the activities involved in receiving CHAPS payment request from Direct Participant or Clearing. Necessary validations (e.g. duplicate check) are performed before processing the remittance. Upon successful validations, necessary entries raised and customer is informed. If validation fails, transaction can be auto returned or manually repaired or returned.</t>
  </si>
  <si>
    <t>This process describes the activities for the execution of inward InterGIRO2 credit transfer in favour of clients. If the payments are processed successfully, the customer is credited and informed. If a payment is incorrect it can be returned automatically or manually repaired or cancelled.</t>
  </si>
  <si>
    <t>This process describes the activities involved in executing Swiss Interbank Clearing RTGS outward remittance initiated by the bank (internally) or received from other banks. Necessary validations (e.g. duplicate check) are done before processing the remittance. The funds are then debited from the nostro account, credited to the clearing account and a message (pacs.009) is generated to clearing.</t>
  </si>
  <si>
    <t>This process describes the steps involved in receiving &amp; processing the cancellation request for an inward payment from GPI tracker. When the request is received, the status of the original payment is validated. Based on the status of the payment, the recall request is accepted or rejected and response is sent to GPI tracker via MT196, MT199 or API.</t>
  </si>
  <si>
    <t>This process describes the activities involved in executing Swiss Interbank Clearing RTGS outward payment initiated by the customer. Necessary validations (e.g. duplicate check) are performed and if a payment is incorrect, it can be manually repaired or cancelled. If validation is successful, the necessary accounting entries are raised and the funds are credited to clearing.</t>
  </si>
  <si>
    <t>Create Organization (TAP) (Channel)</t>
  </si>
  <si>
    <t>This process describes the steps involved in creating an organization via TAP. Contact information, regulatory and profiling details are captured for organization creation.</t>
  </si>
  <si>
    <t>Generate Custody Corporate Action Notification</t>
  </si>
  <si>
    <t>Manage Custody Corporate Action Instruction</t>
  </si>
  <si>
    <t>Manage Custody Corporate Action Payment</t>
  </si>
  <si>
    <t>Create Person Through Quick Create (TAP) (Channel)</t>
  </si>
  <si>
    <t>Create Customer (TAP) (Channel)</t>
  </si>
  <si>
    <t>This process describes the steps involved in creating a customer via TAP. A customer is a virtual entity through which a person/ organization can perform transaction. A Customer can have one or more person/ organization attached to it.</t>
  </si>
  <si>
    <t>Initiate Cash Withdraw (TAP) (Channel)</t>
  </si>
  <si>
    <t>Manage Goal Based Portfolio (TAP) (Channel)</t>
  </si>
  <si>
    <t>Receive and Execute Outward Remittance (SYSTAC)</t>
  </si>
  <si>
    <t>The process begins with the receipt of outward remittance request. Necessary validations (e.g. duplicate check) are done before processing the remittance. The customer is debited and the payment sent to the SYSTAC Clearing.</t>
  </si>
  <si>
    <t>Execute Outward Direct Debit Collection Request (SYSTAC)</t>
  </si>
  <si>
    <t>The process describes activities associated with the creation and execution of an outward direct debit mandate. On the claim date, system automatically generates and sends the Claim file to TPH. OFF-US claims will be sent to SYSTAC clearing and Accounting/Settlement entries will be posted.</t>
  </si>
  <si>
    <t>This process describes the activities involved in executing a return request initiated by debtor bank for a settled Outward Direct Debit. Necessary validations (e.g. Identifying Original transaction) are done before processing the return request. Post validation, beneficiary account will be debited and the amount posted to clearing account. If a payment is incorrect it can be repaired or cancelled by an operator.</t>
  </si>
  <si>
    <t>Receive and Execute Outward Remittance (HK-FPS)</t>
  </si>
  <si>
    <t>Receive Response from Clearing (HK-FPS)</t>
  </si>
  <si>
    <t>This process describes the response received (pacs.002) from Hongkong Faster Clearing for outward remittance request sent. On receipt of response, the status of the transaction is updated. A positive response will generate accounting entries for "Pay on confirmation" pay method. A negative response will lead to reversal of debit entries, raised during execution of instant payments, for "Debit Now" pay method</t>
  </si>
  <si>
    <t>Execute Inward Credit Transfer (HK-FPS)</t>
  </si>
  <si>
    <t>This process describes the activities involved in execution of Inward Hongkong Faster Credit transfer. A positive or negative message (pacs 002) is sent to clearing after account verification validation. Necessary validations are performed and funds are credited to the beneficiary.</t>
  </si>
  <si>
    <t>Initiate Outward Cancellation Requests (HK-FPS)</t>
  </si>
  <si>
    <t>This process describes the activity of cancelling a Hongkong Faster Payment that was initiated and sent to the Clearing. Cancellation is requested by sending camt.056 within the acceptance period to Clearing.</t>
  </si>
  <si>
    <t>This process describes the activities involved in capturing the response received from Hongkong faster clearing for a outward cancellation request sent earlier. Based on the response received the cancellation is either processed or rejected.</t>
  </si>
  <si>
    <t>Execute Cancellation Request from Clearing (HK-FPS)</t>
  </si>
  <si>
    <t>The process describes the activities involved in generating corporate action notification as a custodian. On receipt of corporate action notification from the depository, bank acting as a custodian, processes the messages, records the event and forwards the notification to the institutional clients informing them about the corporate action event, along with additional narrative details relating to the corporate action via MT 568.</t>
  </si>
  <si>
    <t>This Process describes activities involved in receiving payment confirmation (MT566) from depository, reconciliation of entitlement and forwarding payment confirmation (credit/debit of cash and/or stock) to institutional customers.</t>
  </si>
  <si>
    <t>Execute Inward Bulk Credit Transfer (LKRTGS)</t>
  </si>
  <si>
    <t>This process describes the steps involved in creating an economic group via TAP. Group and Relationship details are captured which enable to decide on common fees and services for that customer group.</t>
  </si>
  <si>
    <t>This process describes the steps involved in quick creation of a person via TAP. This method allows us to capture person with minimal details. Validation is performed for duplicate records and a override is generated, on acceptance, a person is created in CUSTOMER application (transact).</t>
  </si>
  <si>
    <t>This process describes the activities involved in managing goal based portfolio which includes one-time deposit, de-activate recurring deposit, activate recurring deposit for an existing goal via TAP.</t>
  </si>
  <si>
    <t>This process describes the rebuild of CG base. The following transactions trigger the Capital Gain Base rebuild process 1. Cost Base adjustments or Tax attribute changes of a Corporate Action event 2. Allocation method change of portfolio for a complete rebuild of Capital Gain Base (this is generally done for any year-end adjustments in Capital Gain calculation) 3. Back-dated/ reversal of transaction leading to re-allotment of tax lots. Rebuild of Capital Gain is done only if the transaction date is post the lock date of the portfolio, if lock date is not set then based on the financial year of the company. Rebuilt Tax Lot Base and its corresponding Capital Gain can be evidenced through the reports such as Realised Gain, Unrealised Gain and History of Tax Lots.</t>
  </si>
  <si>
    <t>This Process deals with capital Gain calculation. Capital Gain (CG) is a gain realised when an asset is sold or disposed at a price higher than the acquisition price. Basic setup for enabling the Capital Gain update for each transaction is done in Security Parameter and Capital Gain Parameter respectively. Each Credit Transaction holds unique Tax Lot reference and gets stored in the Transaction Base file with their respective acquisition cost details as on the date of transaction. Each Debit transaction goes through the process of allocation of available Tax Lots for the respective securities based on the allocation method set at portfolio level or parameter (default) level respectively. Capital Gain/ Loss on the security will vary according to the allocation method used. Reports are available to view the unrealised gain/ loss (before sale) and realised gain/ loss (after sale) and also to view the history of tax lots at any given point of time.</t>
  </si>
  <si>
    <t>This process describes the activities involved in initiation of cash withdrawal when there is no pending withdrawal request, via TAP.</t>
  </si>
  <si>
    <t>Perform Client Onboarding - Organization (TAP) (Channel)</t>
  </si>
  <si>
    <t>This process describes the steps involved in capturing Contact information, regulatory and profiling details for creation of a Organization via Onboarding option.</t>
  </si>
  <si>
    <t>Perform Client Onboarding - Customer (TAP) (Channel)</t>
  </si>
  <si>
    <t>This process describes the steps involved in capturing Contact information, regulatory and profiling details for creation of a Customer via Onboarding option.</t>
  </si>
  <si>
    <t>Perform Client Onboarding - Person (TAP) (Channel)</t>
  </si>
  <si>
    <t>This process describes the steps involved in capturing Contact information, regulatory and profiling details for creation of a Person via Onboarding option.</t>
  </si>
  <si>
    <t>5.2.1.8 Personal Asset</t>
  </si>
  <si>
    <t>Amend Personal Asset Transaction</t>
  </si>
  <si>
    <t>This process describes the activities involved in amending the Purchase/ Sale transactions of Personal Assets (Shared /Non-Shared) when there is a need to change the Price/ Quantity of the transaction performed earlier. No accounting entries are raised for this amendment. Amendment would reverse the existing Security Transfer and generate a new transfer transaction with the modified nominal/ price.</t>
  </si>
  <si>
    <t>Perform Portfolio Liquidation (TAP) (Channel)</t>
  </si>
  <si>
    <t>This process describes the activities involved in portfolio liquidation, which involves full withdraw by cash or transfer of quantity to different portfolio via TAP.</t>
  </si>
  <si>
    <t>Manage Elective Corporate Actions (TAP) (Channel)</t>
  </si>
  <si>
    <t>This process describes the activities involved in performing elective corporate action (Stock/ Cash dividend, Dividend with multi-currency option, Conversion of securities, Rights exercise, Rights Buy/Sell) with Pre Trade Compliance check, via TAP.</t>
  </si>
  <si>
    <t>Receive and Process Inward Cheque Clearing (SYSTAC)</t>
  </si>
  <si>
    <t>Validate and Process Outward German Cheque Collection</t>
  </si>
  <si>
    <t>Receive and Process Inward German Cheque Clearing</t>
  </si>
  <si>
    <t>This process describes the activities of receiving an Inward SYSTAC cheque clearing. Upon successful validations, funds are debited from the customer based on the schedule of release. If a validation fails, it can be manually repaired or returned.</t>
  </si>
  <si>
    <t>This process describes the activities of receiving an Inward German cheque clearing. Upon successful validations, funds are debited from the customer based on the schedule of release. If a validation fails, it can be manually repaired or returned.</t>
  </si>
  <si>
    <t>This process describes the activities of receiving the cheque from customer. Post successful validation, the cheque is dispatched to German clearing. Based on the clearing information, necessary settlement entries are raised and customer is informed.</t>
  </si>
  <si>
    <t>Financial Crime Mitigation Processes</t>
  </si>
  <si>
    <t>14.1 Administration Processes</t>
  </si>
  <si>
    <t>Create Mandator</t>
  </si>
  <si>
    <t>Create User</t>
  </si>
  <si>
    <t>After an order has been initiated, a SWIFT Message is sent to the counterparty. After the execution, a SWIFT message will be received. The trades are updated in Transact based on the SWIFT messages (e.g. fully or partially executed). If Order Routing exists for the respective Order, based on parameter set up the system creates a trade either in broker dealer/ default branch company and a mirror trade created in the Origination Company or vice versa.</t>
  </si>
  <si>
    <t>5.3.2.1 Basic Corporate Action Operations</t>
  </si>
  <si>
    <t>5.3.2.2 Event Specific Corporate Action Operations</t>
  </si>
  <si>
    <t>5.3.2.3 Custody Corporate Action Operations</t>
  </si>
  <si>
    <t>Initiate Fund Order - Custody</t>
  </si>
  <si>
    <t>This process describes the activities involved in creating a User. Each User is associated with a Profile which is a combination of Roles and Mandators. Role defines access to different applications while Mandator defines the data that can be accessed. A Role is grouped together with a Mandator to determine user access and numerous such groups can be attached to a profile to set user restrictions. A Profile can be linked to multiple users thereby setting same user restrictions for several users.</t>
  </si>
  <si>
    <t>This process describes the activities involved in the creating a Mandator. A Mandator represents a business unit, legal entity, branch or line of business based on Currency, Country and Zone. Mandatory inputs required during Mandator creation are GMT offset, email and description.</t>
  </si>
  <si>
    <t>Create and Manage Obligor Details</t>
  </si>
  <si>
    <t>13.4 Obligor Processes</t>
  </si>
  <si>
    <t>Create Personal Consent Arrangement (Manual)</t>
  </si>
  <si>
    <t>Manage Personal Consent Arrangement (Manual)</t>
  </si>
  <si>
    <t>Create and Manage Personal Consent Arrangement (Automatic)</t>
  </si>
  <si>
    <t>Amend Economic Group (TAP) (Channel)</t>
  </si>
  <si>
    <t>This process describes the activities involved in amending / updating Basic details, Relationship details or Status of the economic group via TAP.</t>
  </si>
  <si>
    <t>11.2 US Specific Processes</t>
  </si>
  <si>
    <t>Amend Retail Customer Details (USMB)</t>
  </si>
  <si>
    <t>This process describes activities involved in amendment of retail customer details. This illustrates how to amend existing address, add new address and configure seasonal addresses details, if required. The flow depicts the capture of external products as well.</t>
  </si>
  <si>
    <t>Create Corporate Customer (USMB)</t>
  </si>
  <si>
    <t>This process describes the activities involved in creation of corporate customer.</t>
  </si>
  <si>
    <t>Create Retail Customer (USMB)</t>
  </si>
  <si>
    <t>The process describes the activities involved in uploading images and documents and capturing customer document details into Transact.</t>
  </si>
  <si>
    <t>Send Privacy Policy Notice (USMB)</t>
  </si>
  <si>
    <t>This process describes the activities involved in sending Annual Privacy Policy Notice to customers based on the set frequency.</t>
  </si>
  <si>
    <t>Amend Account (USMB)</t>
  </si>
  <si>
    <t>Change Interest and Payment Schedule (AA) (USMB)</t>
  </si>
  <si>
    <t>Change Primary Customer (AA) (USMB)</t>
  </si>
  <si>
    <t>Create Deposit (USMB)</t>
  </si>
  <si>
    <t>Generate Account Statements (USMB)</t>
  </si>
  <si>
    <t>This process describes the receipt of an amendment request for an arrangement account from the Customer and capturing the amendments in the system.</t>
  </si>
  <si>
    <t>This process describes the activities involved in changing Debit/ Credit Interest and Interest Payment Frequency (Payment Schedule) for an Arrangement Account.</t>
  </si>
  <si>
    <t>This process describes activities involved in changing a Primary Customer of an Arrangement Account.</t>
  </si>
  <si>
    <t>This process describes activities involved in opening and funding a new deposit. It also depicts defining title for the deposit if automatic titling does not apply.</t>
  </si>
  <si>
    <t>This process describes the activities involved in automatic creation of consent arrangement. Based on parameter configuration, consent arrangement is automatically created upon creation of customer record. Automated blocking of the consent arrangement if enabled will be triggered when customer/prospect becomes inactive over a period of time. Automatic closure of consent arrangement for an inactive customer/prospect is performed during the erasure process.</t>
  </si>
  <si>
    <t>This process describes the activities involved in receiving and processing Subscription/ Redemption of fund order from Institutional client through incoming MX messages. Validation is performed before Order execution and status communicated to client.</t>
  </si>
  <si>
    <t>Cancel Fund Order - Custody</t>
  </si>
  <si>
    <t>This process describes the activities involved in receiving and processing the Cancellation Instruction of fund order (Subscription/Redemption) from Institutional Client through incoming MX message. Status of Order Cancellation Instruction is communicated to the client at every stage. If the client is not subscribed to receive Order Cancellation report (setr.017) then the status of the order is sent via an Instruction status report (setr.016).</t>
  </si>
  <si>
    <t>Create Form</t>
  </si>
  <si>
    <t>Create Risk Matrix</t>
  </si>
  <si>
    <t>Manage Base Data</t>
  </si>
  <si>
    <t>This process describes the activities involved in creation of Customer On-boarding/ Enhanced Due Diligence Form. This feature allows user to create both online and physical questioner. The User can set answers and assign risk scores/ weightage to questions based on the customer risk profile.</t>
  </si>
  <si>
    <t>This process describes the activities involved in the creation of Risk Matrix based on a bank's risk based approach and risk appetite. The Risk Matrix is used to identify areas where there is a higher risk of money laundering, terrorist financing, sanctions breaching or any other financial crime. The risk is classified based on the following aspects such as Geography, Customer risk, Product risk or Service risk.</t>
  </si>
  <si>
    <t>This process describes the activities involved in the creation and management of Base Data in FCM suit like Assessment Question, Customer Segment, Customer Occupation, Industry Sector and Compliance Check.</t>
  </si>
  <si>
    <t>Create Account (USMB)</t>
  </si>
  <si>
    <t>11.2.1 Customer Relationship Management Processes (USMB)</t>
  </si>
  <si>
    <t>11.2.2 Retail Banking Processes (USMB)</t>
  </si>
  <si>
    <t>11.2.3 Corporate Banking Processes (USMB)</t>
  </si>
  <si>
    <t>Manage Account To Account Transfer (Front Office) (Corporate) (USMB)</t>
  </si>
  <si>
    <t>Amend Account (Corporate) (USMB)</t>
  </si>
  <si>
    <t>This process describes activities involved in blocking and unblocking of funds for an account, for a specific period and amount.</t>
  </si>
  <si>
    <t>The process describes the activities involved in handling requests received from Customers at the front office for account to account transfers within the bank.</t>
  </si>
  <si>
    <t>This process describes the activities associated with changing the status of an account from dormant to active.</t>
  </si>
  <si>
    <t>This process describes the receipt of an amendment request for an account from the Customer and updating the same in the system.</t>
  </si>
  <si>
    <t>11.2.5 Financial Accounting Parameter Maintenance Processes (USMB)</t>
  </si>
  <si>
    <t>Review and Analyse Accounting Entries (USMB)</t>
  </si>
  <si>
    <t>Review and Reconcile GL Line Balances With Contracts and Accounts (USMB)</t>
  </si>
  <si>
    <t>Verify Accounting Journal (USMB)</t>
  </si>
  <si>
    <t>The process depicts the activities of reviewing and analysing various types of accounting entries with a view to have a general control over the correctness of the entries passed by the user induced transactions.</t>
  </si>
  <si>
    <t>This process describes the activities involved in the review of GL report lines and drill down to the contract/ accounts balances and accounting entries, wherever necessary.</t>
  </si>
  <si>
    <t>11.2.4 Transactional Processes (USMB)</t>
  </si>
  <si>
    <t>Manage NSF Corrections (USMB)</t>
  </si>
  <si>
    <t>This process depicts updates by the user, as needed for corrections of non-sufficient funds (NSF) posting. In the event of bank error, or other circumstances, an adjustment may need to be made to the system in order to update the NSF/OD counters. NSF/OD counters are tracked for consecutive days overdrawn status which may impact Regulation CC processing for OD accounts and customer NSF fee assessment.</t>
  </si>
  <si>
    <t>Amend Deposit (USMB)</t>
  </si>
  <si>
    <t>This process describes the activities associated with changing the status of an account from dormant to active status.</t>
  </si>
  <si>
    <t>This process describes the activities involved in receiving, validating and processing messages received. Based on the message received, different processes like Inward credit transfer or Redirect credit transfer will be executed</t>
  </si>
  <si>
    <t>Receive and Execute Outward Remittance (SARIE)</t>
  </si>
  <si>
    <t>This process describes the activities involved in receiving an inward SARIE (Saudi Arabian Riyal Interbank Express) RTGS credit transfer. Upon successful validations, entries are raised and customer is informed. If validation fails, transaction can be manually repaired or cancelled.</t>
  </si>
  <si>
    <t>Execute Inward Credit Transfer (SARIE)</t>
  </si>
  <si>
    <t>Validate and Process Outward Cheque Collection (CITS)</t>
  </si>
  <si>
    <t>This process describes the activities of receiving the CITS (Cheque Imaging &amp; Truncation System) cheque from customer. Post successful validation, the necessary settlement entries are raised and the cheque is dispatched to CITS clearing.</t>
  </si>
  <si>
    <t>This process describes the activities of receiving an Inward CITS (Cheque Imaging &amp; Truncation System) cheque clearing. Upon successful validations, funds are debited from the customer based on the schedule of release. If a validation fails, it can be manually repaired or returned.</t>
  </si>
  <si>
    <t>Receive and Process Inward Cheque Clearing (CITS)</t>
  </si>
  <si>
    <t>Receive and Execute Outward Remittance (SLIPS)</t>
  </si>
  <si>
    <t>This process describes the activities involved in receiving an inward SLIPS (Sri Lankan Interbank Payment System) credit transfer. Upon successful validations, funds are credited to the beneficiary and customer is informed. If validation fails, transaction can be manually repaired or returned.</t>
  </si>
  <si>
    <t>Execute Inward Credit Transfer (SLIPS)</t>
  </si>
  <si>
    <t>Create Standalone Facility (Corporate)</t>
  </si>
  <si>
    <t>This process describes the activities involved in disbursement of funds from a drawing arrangement. The Payout Beneficiary for the arrangement is checked and funds are disbursed as per schedule. If Payout Beneficiary is unavailable the funds are disbursed manually. Notices gets generated based on the type of Facility.</t>
  </si>
  <si>
    <t>This process describes the activities involved in performing drawdown of a facility by creating loan arrangement under the facility based on allowed products set. A drawdown cannot be performed for a blocked facility or in case of insufficient commitment balance. Loan arrangement details along with Interest Pricing, Repayment Method, Repayment Schedule and Settlement Instructions are captured.</t>
  </si>
  <si>
    <t>Create and Manage Personal Consent Arrangement (Automatic) *</t>
  </si>
  <si>
    <t>Manage Personal Consent Arrangement (Manual) *</t>
  </si>
  <si>
    <t>Create Personal Consent Arrangement (Manual) *</t>
  </si>
  <si>
    <t>Manage Customer Engagements (Islamic) *</t>
  </si>
  <si>
    <t>Create Customer (Islamic) *</t>
  </si>
  <si>
    <t>Execute Cancellation Request from Clearing (TARGET2)</t>
  </si>
  <si>
    <t>Execute Inward Credit Transfer (TARGET2)</t>
  </si>
  <si>
    <t>Initiate Outward Cancellation Requests (TARGET2)</t>
  </si>
  <si>
    <t>This process describes the activity of cancelling an TARGET2 payment that was initiated and sent to the Clearing. Cancellation is requested by sending camt.056 within the acceptance period to Clearing. Based on the response received the cancellation is either processed or rejected.</t>
  </si>
  <si>
    <t>Process Return of Outward Remittance (TARGET2)</t>
  </si>
  <si>
    <t>The process describes the activities involved in processing return of outward TARGET2 remittance. The original transaction is identified and funds are credited back to customer account. If validation fails, transaction can be manually repaired or cancelled.</t>
  </si>
  <si>
    <t>Receive and Execute Outward Remittance (TARGET2)</t>
  </si>
  <si>
    <t>This process describes the activities involved in receiving an outward remittance request initiated by the customer. Necessary validations (e.g. duplicate check, Sanctions) are done before processing the remittance. The customer is debited and the payment sent to the TARGET2 Clearing. Incorrect payments are manually cancelled or repaired by the operator.</t>
  </si>
  <si>
    <t>Receive and Execute Payment Instructions (TARGET2)</t>
  </si>
  <si>
    <t>This process describes the activities involved in executing a payment instruction initiated by the bank. Necessary validations (e.g. duplicate check, Sanctions) are done before processing the remittance. Nostro account is debited and payment sent to the TARGET2 Clearing. Incorrect payments are manually cancelled or repaired by the operator.</t>
  </si>
  <si>
    <t>Receive File from Clearing (TARGET2)</t>
  </si>
  <si>
    <t>Create Task (TAP) (Channel)</t>
  </si>
  <si>
    <t>Manage Order Confirmation Cancellation - Custody</t>
  </si>
  <si>
    <t>Manage Task (TAP) (Channel)</t>
  </si>
  <si>
    <t>Manage Alert Templates (TAP) (Channel)</t>
  </si>
  <si>
    <t>This process describes the steps involved in managing an alert template. Alert template can be created and existing templates can be modified, archived or deleted via TAP.</t>
  </si>
  <si>
    <t>Manage Mandatory Alerts (TAP) (Channel)</t>
  </si>
  <si>
    <t>This process describes the steps involved in managing an mandatory alert. Mandatory alert can be created and existing alerts can be modified, archived or deleted via TAP.</t>
  </si>
  <si>
    <t>Manage Alert (TAP) (Channel)</t>
  </si>
  <si>
    <t>This process describes the steps involved in management of alerts by user via TAP. A user can only view a mandatory alert whereas he can view and subscribe or unsubscribe to an alert templates.</t>
  </si>
  <si>
    <t>Create Dashboard</t>
  </si>
  <si>
    <t>Define a Report</t>
  </si>
  <si>
    <t>Schedule a Report</t>
  </si>
  <si>
    <t>This process describes the activities involved in Defining a report. Report Definition allows user to combine data from several model objects including child objects into one report. Report generation can be scheduled to fulfil regular reporting needs.</t>
  </si>
  <si>
    <t>This Process describes the activities involved in creation of a report generation schedule in calendar. A specific timing can be set in the scheduler to trigger the report attached. A schedule can have only one report definition attached to it. A user can create as many schedules as needed.</t>
  </si>
  <si>
    <t>Manage Alerts (USMB)</t>
  </si>
  <si>
    <t>Transact provides a facility for customer to subscribe to various types of alerts such as balance alerts etc. This process describes the activities involved in subscribing or unsubscribing and also amending already subscribed alerts.</t>
  </si>
  <si>
    <t>Complete KYC Check (Corporate) (USMB)</t>
  </si>
  <si>
    <t>This process describes the activities involved in obtaining Corporate Customer KYC documents and for missing documents follow up actions are captured.</t>
  </si>
  <si>
    <t>Manage Customer Engagements (Corporate) (USMB)</t>
  </si>
  <si>
    <t>Manage Cash Transaction Reporting (USMB)</t>
  </si>
  <si>
    <t>This process illustrates activities involved in viewing online inquiries listing CTR violations of CTR exempt and CTR non-exempt customers. It also depicts CTR Reported inquiry updated with records selected by the user from violations inquiries.</t>
  </si>
  <si>
    <t>This process describes the activities involved in executing a Customer or an external/ internal request for setting/ removing restrictions for posting. The restriction can be set either at the Customer level or at an account level.</t>
  </si>
  <si>
    <t>Fund Accounting Processes</t>
  </si>
  <si>
    <t>15.1 Accounting Parameters Maintenance</t>
  </si>
  <si>
    <t>Define Accounting Chart</t>
  </si>
  <si>
    <t>This process describes the steps involved in setting up an Accounting Chart along with account definitions, structures, and transaction links. This structure is used as a basis for reporting and to produce financial statements. The process starts with defining a chart-of-accounts in the CMESS table "PLAN", which is available as a part of the Initial System Build of MFGA.</t>
  </si>
  <si>
    <t>Process Return of Outward Remittance (SLIPS)</t>
  </si>
  <si>
    <t>Execute Outward Direct Debit Collection Request (SLIPS)</t>
  </si>
  <si>
    <t>Execute Inward Direct Debit Collection Request (SLIPS)</t>
  </si>
  <si>
    <t>Execute Direct Debit Return Request from Debtor Bank (SLIPS)</t>
  </si>
  <si>
    <t>Receive File from Clearing (SLIPS)</t>
  </si>
  <si>
    <t>Receive File from Clearing (SLIPS) *</t>
  </si>
  <si>
    <t>This process describes the activities involved in executing return of funds from SLIPS (Sri Lanka Inter-bank Payment System). The original transaction is identified and funds will be credited back to customer account. If validation fails, transaction can manually repaired or rejected.</t>
  </si>
  <si>
    <t>This process highlights activities associated with receiving and validating a bulk file from the clearing. Once file is validated, each bulk is processed into the respective branches. It will split them in the different processes like Inward Credit Transfer to be processed or Inward Direct debit request to be executed</t>
  </si>
  <si>
    <t>The process describes the activities of receiving and validating SLIPS (Sri Lanka Inter-bank Payment System) direct debit collection request from customer. Based on the request, funds are credited to the customer. If a collection request is incorrect, it is automatically cancelled.</t>
  </si>
  <si>
    <t>The process describes the activities of validating Direct Debit collection requests received from SLIPS (Flat File). Based on the request received, Inward collection will be processed after performing all the validations (e.g. duplicate check, check mandate). Post validation, the funds are debited from the customer and credited to clearing account. If a collection request is incorrect, it can be manually repaired or returned by an operator.</t>
  </si>
  <si>
    <t>Receive and Execute Outward Remittance (CEFTS)</t>
  </si>
  <si>
    <t>Execute Inward Credit Transfer (CEFTS)</t>
  </si>
  <si>
    <t>Execute Outward Direct Debit and Just Pay Collection Request (CEFTS)</t>
  </si>
  <si>
    <t>Execute Inward Direct Debit and Just Pay Collection Request (CEFTS)</t>
  </si>
  <si>
    <t>Execute Cancellation of Inward Credit Transfer (CEFTS)</t>
  </si>
  <si>
    <t>Manage Customer Engagements (Retail) (USMB)</t>
  </si>
  <si>
    <t>Manage Contacts (USMB)</t>
  </si>
  <si>
    <t>This process depicts how to manage customer contacts details. The same process applies to retail and corporate customers.</t>
  </si>
  <si>
    <t>Perform Partial Withdrawal of Deposit (AA) (USMB)</t>
  </si>
  <si>
    <t>Open Account (Corporate) (USMB)</t>
  </si>
  <si>
    <t>This process describes activities involved in opening an arrangement account for a corporate customer.</t>
  </si>
  <si>
    <t>Manage NSF Payment Exceptions (USMB)</t>
  </si>
  <si>
    <t>This process illustrates viewing and deciding on unposted transactions as part of the non-sufficient funds (NSF) processing.</t>
  </si>
  <si>
    <t>Create Deal Arrangement (Corporate)</t>
  </si>
  <si>
    <t>Amend Deal Arrangement (Corporate)</t>
  </si>
  <si>
    <t>Create Facility Under Deal Arrangement (Corporate)</t>
  </si>
  <si>
    <t>Amend Facility Arrangement (Corporate)</t>
  </si>
  <si>
    <t>Perform Disbursement of Drawings Under Facility Arrangement (Corporate)</t>
  </si>
  <si>
    <t>Close Facility Arrangement (Corporate)</t>
  </si>
  <si>
    <t>Perform Drawings Under Facility Arrangement (Corporate)</t>
  </si>
  <si>
    <t>Process Return of Outward Remittance (MAV)</t>
  </si>
  <si>
    <t>Receive and Execute Outward Remittance (MAV)</t>
  </si>
  <si>
    <t>The process describes the activities involved in processing return of outward MAV (Mediante Avviso) remittance. The original transaction is identified and funds are credited back to customer account. If validation fails, transaction can be manually repaired or cancelled.</t>
  </si>
  <si>
    <t>This process describes the activities involved in opening a deal arrangement account for a customer. Deal contract is an agreement to provide the customer an agreed amount over an agreed term. Deal arrangement details and payment method are captured based on customer request. During the tenor of the deal, the agreed amount can be utilised by the customer by creating facilities under the deal. A customer is allowed to create facilities multiple times (within allowed deal limits) with each facility having its own unique conditions.</t>
  </si>
  <si>
    <t>This process describes the activities involved in execution of Inward TARGET2 Credit transfer initiated by the bank (internally) or received from other banks. Upon successful validations, funds are credited to the beneficiary. If a validation fails, it can be auto returned or manually repaired or returned.</t>
  </si>
  <si>
    <t>This process describes the steps involved in managing a client document via TAP. Documents can be uploaded directly.</t>
  </si>
  <si>
    <t>Fund Accounting Processes cover creation of Accounting Chart along with account definitions, structures, and transaction links. This structure is used as a basis for reporting and to produce financial statements.</t>
  </si>
  <si>
    <t>Generate Deposit Advices (USMB)</t>
  </si>
  <si>
    <t>This process describes the activities involved in generation of Deposit advice (AA).</t>
  </si>
  <si>
    <t>Perform Repayment of Deposit (AA) (USMB)</t>
  </si>
  <si>
    <t>This process depicts activities related to repayment of a AA deposit. In case a settlement account has been provided, transfer will happen automatically. Otherwise a manual repayment either through Cash/ Funds Transfer mode needs to be executed.</t>
  </si>
  <si>
    <t>Set Up Sweep (USMB)</t>
  </si>
  <si>
    <t>This process describes the activities involved in setting up various types of Sweep (Maintenance, Surplus and Two way).</t>
  </si>
  <si>
    <t>11.2.6 SMS Processes</t>
  </si>
  <si>
    <t>Set Up Password (USMB)</t>
  </si>
  <si>
    <t>Reset Password (USMB)</t>
  </si>
  <si>
    <t>This process describes activities associated with resetting password. A new password is created in the system. As a security measure, the user will be forced to change it on the first sign-on.</t>
  </si>
  <si>
    <t>Maintain Accounting Static Data (USMB)</t>
  </si>
  <si>
    <t>This process describes the activities involved in executing return of funds from clearing. The original transaction is identified and funds credited back to customer account. If validation fails, transaction can manually repaired or cancelled.</t>
  </si>
  <si>
    <t>3.3.2 Cheque Clearing</t>
  </si>
  <si>
    <t>3.3.3 Common Processes</t>
  </si>
  <si>
    <t>The process describes the activities involved in processing return of VIBER outward remittance. If the original transaction is identified and the return code is available, the funds will be credited to customer account post successful validations. If validation fails, transaction can be manually repaired or returned.</t>
  </si>
  <si>
    <t>Execute Inward Direct Debit Collection Request (Flat file)</t>
  </si>
  <si>
    <t>Execute Direct Debit Return Request from Debtor Bank (Flat file)</t>
  </si>
  <si>
    <t>This process describes the activities involved in receiving a credit transfer. If a payment is incorrect, it can be manually repaired or returned. If the payment is processed successfully, then the settlement is done and confirmation sent to customer.</t>
  </si>
  <si>
    <t>The process describes the activities of receiving and validating direct debit collection request from Clearing. Based on the request, funds are debited from the customer and sent to clearing. If a collection request is incorrect, it can be manually repaired or cancelled by an operator.</t>
  </si>
  <si>
    <t>Execute Inward Credit Transfer (Flat file)</t>
  </si>
  <si>
    <t>Process Return of Outward Remittance (Flat file)</t>
  </si>
  <si>
    <t>Receive Electronic Payment Instruction (Single Outward) (XML)</t>
  </si>
  <si>
    <t>Receive Electronic Payment Instruction (Bulk Outward) (XML)</t>
  </si>
  <si>
    <t>Execute Inward Credit Transfer (XML)</t>
  </si>
  <si>
    <t>This process describes the activities for the execution of 'electronically' received credit transfer in favour of clients. If a payment is incorrect it can be returned automatically or manually, repaired or cancelled. Upon successful validations, entries are raised and beneficiary is informed. If the beneficiary is not within the same bank, the request is forwarded to the Indirect Participant (IP).</t>
  </si>
  <si>
    <t>This process highlights activities associated with the upload of a bulk file credits from a customer. On successful upload the system creates master and individual records. Payments will be routed accordingly. For unsuccessful upload or payments, status reports can be sent to the customer. Unsuccessful payments will be reversed automatically or placed in repair queue</t>
  </si>
  <si>
    <t>Validate and Execute Outward Remittance (XML)</t>
  </si>
  <si>
    <t>This process describes the activities involved in receiving payment request from customers. Necessary validations (e.g. duplicate check) are performed before processing the remittance. If validation fails, transaction can be manually repaired or cancelled.</t>
  </si>
  <si>
    <t>Receive File from Clearing (EQUENS)</t>
  </si>
  <si>
    <t>Receive Electronic Payment Instruction (Single Outward) (XML) *</t>
  </si>
  <si>
    <t>Execute Direct Debit Collection Request (XML)</t>
  </si>
  <si>
    <t>Send Cancellation Request for Outward Collection (XML)</t>
  </si>
  <si>
    <t>Execute Direct Debit Collection Request (XML) *</t>
  </si>
  <si>
    <t>Send Cancellation Request for Outward Collection (XML) *</t>
  </si>
  <si>
    <t>This process describes the activities involved in execution of Inward credit transfer from SIC. Post validation and sanctions, funds will be credited to beneficiary/ beneficiary bank account based on the transaction type. If validation fails, transaction is manually repaired or returned.</t>
  </si>
  <si>
    <t>Process Return of Settled Cheque</t>
  </si>
  <si>
    <t>Perform Sanction Screening</t>
  </si>
  <si>
    <t>Execute Direct Debit Cancellation Request from Creditor Bank (XML)</t>
  </si>
  <si>
    <t>Execute Direct Debit Cancellation Request from Creditor Bank (XML) *</t>
  </si>
  <si>
    <t>Execute Direct Debit Reversal Request from Creditor Bank (XML)</t>
  </si>
  <si>
    <t>Execute Direct Debit Reversal Request from Creditor Bank (XML) *</t>
  </si>
  <si>
    <t>Receive and Execute Electronic Collection Instruction (Bulk) (XML)</t>
  </si>
  <si>
    <t>Receive and Execute Electronic Collection Instruction (Bulk) (XML) *</t>
  </si>
  <si>
    <t>Receive and Execute Electronic Collection Instruction (Single) (XML)</t>
  </si>
  <si>
    <t>Receive and Execute Electronic Collection Instruction (Single) (XML) *</t>
  </si>
  <si>
    <t>Receive File from Clearing (EQUENS) *</t>
  </si>
  <si>
    <t>Receive File from Clearing (SEPA) *</t>
  </si>
  <si>
    <t>Receive and Execute Outward Remittance (SIBTEL)</t>
  </si>
  <si>
    <t>Execute Outward Direct Debit Collection Request (SIBTEL)</t>
  </si>
  <si>
    <t>The process describes the activities of receiving and validating SIBTEL direct debit collection request from customer. Necessary validations (e.g. duplicate check) are done before processing the remittance. The customer is credited and the payment sent to the SIBTEL Clearing</t>
  </si>
  <si>
    <t>Create Category (TAP) (Channel)</t>
  </si>
  <si>
    <t>This process describes the steps involved in creation of a category via TAP. Details of all Categories are displayed in the maintenance page. Categories allow Users to add relevant labels to clients, documents, and notes, which can be used for sorting, grouping and performing quick searches.</t>
  </si>
  <si>
    <t>Manage Category (TAP) (Channel)</t>
  </si>
  <si>
    <t>This process describes the steps involved in modifying or deleting a category via TAP.</t>
  </si>
  <si>
    <t>Manage Relationship (TAP) (Channel)</t>
  </si>
  <si>
    <t>This process describes the steps involved in managing relationship via TAP.</t>
  </si>
  <si>
    <t>Create Notes (TAP) (Channel)</t>
  </si>
  <si>
    <t>This process describes the steps involved in creation of an Notes via TAP. List of all Notes details are displayed in the clients profile page.</t>
  </si>
  <si>
    <t>Manage Notes (TAP) (Channel)</t>
  </si>
  <si>
    <t>This process describes the steps involved in managing Notes via TAP.</t>
  </si>
  <si>
    <t>Perform Bulk Custodian Transfer</t>
  </si>
  <si>
    <t>Cancel Account Sweep (USMB)</t>
  </si>
  <si>
    <t>This process describes the activities involved in the cancellation of sweep set up for an account.</t>
  </si>
  <si>
    <t>Receive Request For Standing Order (USMB)</t>
  </si>
  <si>
    <t>The process describes the activities involved in receiving a Standing order request from Customer. Necessary verification is done before setting up the standing order.</t>
  </si>
  <si>
    <t>In this process describes the activities involved in set up of standing order for fixed amount transfer based on the customer request.</t>
  </si>
  <si>
    <t>Set Up Standing Order (USMB)</t>
  </si>
  <si>
    <t>Set Up User (USMB)</t>
  </si>
  <si>
    <t>This process describes creation of a user record. As part of this activity, access rights/restrictions to specific applications and versions along with the user name are set up in the system.</t>
  </si>
  <si>
    <t>This process describes creation and funding of a Safe Deposit Box through the "AA" module.</t>
  </si>
  <si>
    <t>Generate Ageing Report</t>
  </si>
  <si>
    <t>View Produced Reports</t>
  </si>
  <si>
    <t>Manage Report Listing</t>
  </si>
  <si>
    <t>Generate Customer Investigation Report</t>
  </si>
  <si>
    <t>Generate Transaction Hit Statistical Analysis Report</t>
  </si>
  <si>
    <t>Generate Transaction Message Investigation Report</t>
  </si>
  <si>
    <t>Generate Transaction Statistical Analysis Report</t>
  </si>
  <si>
    <t>This process describes the activities involved in viewing generated reports. A user can view all the reports he is authorised to and can also filter for particular reports based on filter conditions.</t>
  </si>
  <si>
    <t>This Processes describes the activities involved in listing of generated reports. The reports are listed based on the filter condition set. The user can choose to delete/ download the listed reports.</t>
  </si>
  <si>
    <t>This process describes the activities involved in the generation of Customer Investigation Report for investigating customer transactions.</t>
  </si>
  <si>
    <t>This process describes the activities involved in the creation of Transaction Hit Statistical Analysis Report with different dimensions based on transaction Hits.</t>
  </si>
  <si>
    <t>This process describes the activities involved in the creation of Transaction Message Investigation Report. The user can investigate on a number of alert messages based on a selected parameters.</t>
  </si>
  <si>
    <t>This process describes the activities involved in the creation of Transaction Statistical Analysis Report with different dimensions based on transaction messages. Transactional statistical analysis report displays transactions in profile, screening, transactions that are blocked, transactions that are not blocked, transactions that generate hit and do not generate hits.</t>
  </si>
  <si>
    <t>Financial Crime Mitigation Processes covers the creation of Mandator and User for application and data restrictions. It also caters to creation of Customer on-boarding/ Enhanced due diligence form and creation of Risk Matrix for classification of risk. Knowledge Management allows user to create, generate and manage reports, schedule them and represent the generate reports as dashboards.</t>
  </si>
  <si>
    <t>This process describes the activities involved in position transfer of all/ specific securities under single transfer instruction. During the process, user can update Broker SSI details and select/ unselect the positions to be transferred. Based on configuration, Position Transfer records will be auto authorised when Broker SSI details is updated.</t>
  </si>
  <si>
    <t>2.2.10 Import Open Account Trading</t>
  </si>
  <si>
    <t>Amend Open Account Trade (Import)</t>
  </si>
  <si>
    <t>Lodge Documents Against Open Account Trade (Import)</t>
  </si>
  <si>
    <t>This process describes the activities involved in lodging import document against Open Account Trade. Documents are lodged upon successful verification and in case of discrepancies, request for clarification is sent to the importer.</t>
  </si>
  <si>
    <t>2.2.11 Export Open Account Trading</t>
  </si>
  <si>
    <t>Amend Open Account Trade (Export)</t>
  </si>
  <si>
    <t>Lodge Documents Against Open Account Trade (Export)</t>
  </si>
  <si>
    <t>2.2.12 Import Advance Payment Trading</t>
  </si>
  <si>
    <t>Amend Advance Payment Trade (Import)</t>
  </si>
  <si>
    <t>Lodge Documents Against Advance Payment Trade (Import)</t>
  </si>
  <si>
    <t>2.2.13 Export Advance Payment Trading</t>
  </si>
  <si>
    <t>Amend Advance Payment Trade (Export)</t>
  </si>
  <si>
    <t>Lodge Documents Against Advance Payment Trade (Export)</t>
  </si>
  <si>
    <t>This process describes the activities involved in lodging export document against Open Account Trade. Documents are lodged upon successful verification and in case of discrepancies, request for clarification is sent to the exporter.</t>
  </si>
  <si>
    <t>This process describes the activities involved in lodging import document against Advance Payment Trade. Documents are lodged upon successful verification and in case of discrepancies, request for clarification is sent to the importer.</t>
  </si>
  <si>
    <t>This process describes the activities involved in lodging export document against Advance Payment Trade. Documents are lodged upon successful verification and in case of discrepancies, request for clarification is sent to the exporter.</t>
  </si>
  <si>
    <t>2.3.8.3 Corporate Drawings</t>
  </si>
  <si>
    <t>Create Standalone Loan (Corporate)</t>
  </si>
  <si>
    <t>Create Suffix Account</t>
  </si>
  <si>
    <t>Define Posting Rules</t>
  </si>
  <si>
    <t>Set Up Cambio Accounts</t>
  </si>
  <si>
    <t>Set Up Equalization Chart</t>
  </si>
  <si>
    <t>15.2 DataMart Parameters Maintenance</t>
  </si>
  <si>
    <t>Configure DataMart for Investment Book of Records</t>
  </si>
  <si>
    <t>Execute Inward Credit Transfer (XML) *</t>
  </si>
  <si>
    <t>Execute Call Back - Cancellation of Credit Transfer (XML) *</t>
  </si>
  <si>
    <t>Validate and Execute Outward Remittance (XML) *</t>
  </si>
  <si>
    <t>Receive Electronic Payment Instruction (Bulk Outward) (XML) *</t>
  </si>
  <si>
    <t>Execute Call Back - Cancellation of Credit Transfer (XML)</t>
  </si>
  <si>
    <t>This process describes the steps involved in configuring DataMart. DataMart is a centralized repository for storing all transactions, positions and details of instruments. It is an effective tool for decision making and is the base for rebuilding other reports. DataMart provides flexibility to clients for creating their own reports using their in-house downstream reporting applications. The data extracted from Datamart provides the information for investment book of records in real time without waiting for NAV to be run.</t>
  </si>
  <si>
    <t>This process describes the steps involved in defining posting rules for an accounting chart and is achieved through configuring Operation codes, Fee codes and NAV codes.</t>
  </si>
  <si>
    <t>The process describes the execution of a cancellation request (e.g. camt.056) for a collection sent by the creditor bank. The related payment can be cancelled automatically or the operator can provide approval for the cancellation.</t>
  </si>
  <si>
    <t>This process describes the steps involved in managing an task via TAP. The task can be modified or deleted based on user requirement.</t>
  </si>
  <si>
    <t>This process describes the activities involved in receiving Clearing Status Report (pacs.002) for Direct Debit collection. If a negative response is received, the related payment can be automatically returned or manually returned, cancelled or resubmitted by an operator. The status of the related message will be updated based on the action taken.</t>
  </si>
  <si>
    <t>The process describes activities of a bank internally initiating return of settled Cheque. Settled cheque is returned if it is within the acceptance days. Post authorisation, original cheque transaction is updated and file is sent to clearing. The status of Cheque returned is updated in Cheque Register Supplement.</t>
  </si>
  <si>
    <t>The process describes the activities of receiving and validating electronic transfer requests (pain.008). Based on the requests, the required type of transaction (e.g. Account to Account, Outward collection) will be determined. If a outward collection request is incorrect it can be automatically cancelled else manually repaired or cancelled by an operator.</t>
  </si>
  <si>
    <t>The process describes the activity of cancelling outward collection by sending camt.056 within the acceptance period.</t>
  </si>
  <si>
    <t>This process describes the steps involved in setting up Forex Adjustment accounts (also referred as Cambio accounts) to determine the unrealized results due to exchange rate changes. Cambio accounts are set up for each foreign currencies held in a fund. Accounting entries to Cambio accounts are automatically generated and hence requires no intervention from the user. Depending on the Cambio treatment method selected, only Cambio closing entries will differ (Cambio closing refers to the realization of the unrealized result on cash accounts).</t>
  </si>
  <si>
    <t>Register Direct Debit for Retail Loans (USMB)</t>
  </si>
  <si>
    <t>This process describes activities involved in opening and disbursing new loan.</t>
  </si>
  <si>
    <t>This process describes activities involved in creating direct debit for retail loans repayment.</t>
  </si>
  <si>
    <t>Define And Maintain General Ledger Average Balance Processing (USMB)</t>
  </si>
  <si>
    <t>This process describes the activities involved in updating/ maintaining GL line and rolling period as per the General Ledger Average Balance report requirement.</t>
  </si>
  <si>
    <t>This process describes activities associated with viewing recent account related transactions and account details by a Retail customer.</t>
  </si>
  <si>
    <t>Reinitiate Rejected Outward Direct Debit Collection (SYSTAC)</t>
  </si>
  <si>
    <t>This process describes the activities of receiving and processing rejected outward SYSTAC Direct Debit collection request. Post validation, the rejected transaction is resubmitted or cancelled based on the error codes.</t>
  </si>
  <si>
    <t>Initiate Outward Remittance Cancellation Request (SIC)</t>
  </si>
  <si>
    <t>This process describes the activities involved in cancelling a SIC payment that was initiated and sent to the Clearing. Cancellation is requested by sending camt.056 within the acceptance period to Clearing. Based on the response received, the cancellation is either processed or rejected</t>
  </si>
  <si>
    <t>The process describes the activities involved in receiving cancellation request from SIC clearing. The related payment can be returned automatically or placed in manual queue for approval. If a payment cannot be returned a cancellation message (camt.029) is sent.</t>
  </si>
  <si>
    <t>This process describes the activities of receiving the cheque from customer. Post successful validation, the cheque is dispatched to clearing. Based on the clearing information, necessary settlement entries are raised and customer is informed.</t>
  </si>
  <si>
    <t>Receive and Process Inward Cheque Clearing (SIBTEL)</t>
  </si>
  <si>
    <t>Set Up User for Role Based Home Page (USMB)</t>
  </si>
  <si>
    <t>This process describes the activities involved in creating a user and attaching pre-configured 'role based home page' to the user. The user so assigned with role based home page will be having access to defined set of menus as available to the particular role.</t>
  </si>
  <si>
    <t>Amend Loan (USMB)</t>
  </si>
  <si>
    <t>This process describes the activities involved in receipt and processing of request for loan account amendments.</t>
  </si>
  <si>
    <t>Set Up Beneficiary (USMB)</t>
  </si>
  <si>
    <t>This process describes activities involved in setting up of a beneficiary.</t>
  </si>
  <si>
    <t>Online Channels processes covers user set up and maintenance associated with Personal, Corporate and Wealth Management customers. It also includes processes specific to Retail, Corporate and Wealth Management as well as Transactional online channels processes.</t>
  </si>
  <si>
    <t>Maintain Regulation D Violation (USMB)</t>
  </si>
  <si>
    <t>This process described the activities involved in viewing and updating customers Regulation D violations.</t>
  </si>
  <si>
    <t>Maintain Year End Parameters (USMB)</t>
  </si>
  <si>
    <t>This process describes the activities to be completed before the year end processing begins.</t>
  </si>
  <si>
    <t>Define GL Lines for FR2900 Reporting (USMB)</t>
  </si>
  <si>
    <t>This process describes the activities involved in the updation/ maintenance of GL lines as per FR2900 requirement.</t>
  </si>
  <si>
    <t>14.6 Knowledge Manager Processes</t>
  </si>
  <si>
    <t>14.5 Know Customer Plus (KC+) Processes</t>
  </si>
  <si>
    <t>14.2 Screen Processes</t>
  </si>
  <si>
    <t>Create and Evaluate Customer Information File (CIF) Manual Alert</t>
  </si>
  <si>
    <t>This process describes the activities involved in the creation and evaluation of manual alerts for CIF. A customer information file (CIF) stores all pertinent information about a customer's personal and account data. The customer information file (CIF), which contains a CIF number, allows the business to view its customer accounts by relationship and not strictly by account type.</t>
  </si>
  <si>
    <t>View Web Inquiry</t>
  </si>
  <si>
    <t>This process describes the activities involved in ad-hoc checking of new or existing customers. The details of a customer who needs to be evaluated are captured. The result displays any hits that are found against that name, and the details of the hit can be viewed, removed or exported.</t>
  </si>
  <si>
    <t>14.3 Suspicious Activity Prevention Processes</t>
  </si>
  <si>
    <t>Create and Activate Suspicious Activity Prevention (SAP) Rule</t>
  </si>
  <si>
    <t>14.4 Profile Processes</t>
  </si>
  <si>
    <t>Create and Activate Profile Rule</t>
  </si>
  <si>
    <t>Generate Audit Analysis Report</t>
  </si>
  <si>
    <t>This process describes the activities involved in generation of Audit Analysis report. The report helps to analyse various user activities performed in the Screen menu.</t>
  </si>
  <si>
    <t>Generate Customer Statistical Analysis Report</t>
  </si>
  <si>
    <t>This process describes the activities involved in the generation of Customer Statistical Analysis Report with different dimensions based on CIF transaction messages. CIF transaction statistical analysis report displays Customer transactions that are evaluated and closed.</t>
  </si>
  <si>
    <t>Generate Skip Quality Report</t>
  </si>
  <si>
    <t>15.3 Application Parameters Maintenance</t>
  </si>
  <si>
    <t>Create Exchange Rate Groups</t>
  </si>
  <si>
    <t>Create Interest Rate Type</t>
  </si>
  <si>
    <t>Define Forward Interest Rate Yield Curve</t>
  </si>
  <si>
    <t>Set Up Application Currency by Fund</t>
  </si>
  <si>
    <t>Interest rates type (or interest rate group) will be created to differentiate reference rates used for floating rate notes, forward exchange contract valuation, interest rate swaps, accrued interest on current accounts, forward rate agreements, etc. When using interest rate groups, the applicable rates will be determined using spreads to be added to / subtracted from the reference rates.</t>
  </si>
  <si>
    <t>Create Future Master for Vanilla Future</t>
  </si>
  <si>
    <t>Create Option Master for Vanilla Option</t>
  </si>
  <si>
    <t>Create Security Master for Equity</t>
  </si>
  <si>
    <t>Create Security Master for Factored Instrument</t>
  </si>
  <si>
    <t>Set Up Tax Table</t>
  </si>
  <si>
    <t>The process describes the activities involved in capturing of new plain vanilla future into the master for trading.</t>
  </si>
  <si>
    <t>This process describes the activities involved in capturing plain vanilla option into the master for trading.</t>
  </si>
  <si>
    <t>The process describes activities involved in capturing of new equities into the master for trading.</t>
  </si>
  <si>
    <t>The process describes the activities involved in capturing of new factored instruments into the master for trading.</t>
  </si>
  <si>
    <t>The process describes the activities involved in capturing of new bonds (fixed, zcb, floating) into the master for trading.</t>
  </si>
  <si>
    <t>Tax table allows different setup for withholding taxes (recoverable and non recoverable taxes), capital gains taxes (short term gains and long term gains) and other region specific taxes to be applied on securities' incomes (coupon/dividend).</t>
  </si>
  <si>
    <t>Create User (TAP) (Channel)</t>
  </si>
  <si>
    <t>Create Workflow (TAP) (Channel)</t>
  </si>
  <si>
    <t>Manage Communication Relationship (TAP) (Channel)</t>
  </si>
  <si>
    <t>Manage Workflow (TAP) (Channel)</t>
  </si>
  <si>
    <t>This process describes the activities involved in the creation of user via TAP. A user is created under predefined role which determines the set of activities that can be performed by the user. Each User is associated with a Profile which is a combination of Functional security, Data profile and Data security profile.</t>
  </si>
  <si>
    <t>This process describes the set of activities involved in the managing a workflow via TAP. An existing workflow can be modified, deleted based on requirement.</t>
  </si>
  <si>
    <t>This process describes the set of activities involved in the managing Customer communication details via TAP. New communication address can be added existing details can be modified or deleted.</t>
  </si>
  <si>
    <t>This process describes the set of activities involved in the creation of a workflow via TAP. The attributes are applicable only for internal workflows.</t>
  </si>
  <si>
    <t>9.6 Online Company Creation Processes</t>
  </si>
  <si>
    <t>Create Company Through an Online Service</t>
  </si>
  <si>
    <t>This process describes the activities involved in creating a company online (through a stateless connection like browser). When a new company is created in Transact, the process will create a new company record on hold with status set as NEW. Initiating service “Company Create” will create all relevant database tables and auto update key parameter tables. Record status is set as PROCESSING when the service is in progress and on successfully completion of Company creation, the status gets updated as ACTIVE.</t>
  </si>
  <si>
    <t>This process describes activities associated with processing an Onboarding request from a new/existing Retail customer. The application is verified and approved or declined manually.</t>
  </si>
  <si>
    <t>Manage Evaluated Alert</t>
  </si>
  <si>
    <t>This process describes the activities involved in investigation of evaluated alerts. A Note or document can be upload and added to Evaluated Alerts.</t>
  </si>
  <si>
    <t>Execute Direct Debit Return Request from Debtor Bank (Flat file) *</t>
  </si>
  <si>
    <t>Execute Inward Direct Debit Collection Request (Flat file) *</t>
  </si>
  <si>
    <t>Process Return of Outward Remittance (Flat file) *</t>
  </si>
  <si>
    <t>Execute Inward Credit Transfer (Flat file) *</t>
  </si>
  <si>
    <t>Receive File from Clearing (Nordic)</t>
  </si>
  <si>
    <t>This process describes activities associated with initiation of transfer between accounts, transfer to other bank accounts and instant payments request from a Retail customer.</t>
  </si>
  <si>
    <t>Create Allocation (TAP) (Channel)</t>
  </si>
  <si>
    <t>Create Basket Instrument (TAP) (Channel)</t>
  </si>
  <si>
    <t>Create Risk Strategy (TAP) (Channel)</t>
  </si>
  <si>
    <t>Create Investment Profile (TAP) (Channel)</t>
  </si>
  <si>
    <t>Create Model Portfolio (TAP) (Channel)</t>
  </si>
  <si>
    <t>Create Recommendation List (TAP) (Channel)</t>
  </si>
  <si>
    <t>This process describes the steps involved in creation of an Allocation via TAP.</t>
  </si>
  <si>
    <t>This process describes the steps involved in creation of a Basket instrument via TAP.</t>
  </si>
  <si>
    <t>This process describes the steps involved in creation of a Risk strategy via TAP.</t>
  </si>
  <si>
    <t>This process describes the steps involved in creation of an Investment Profile via TAP.</t>
  </si>
  <si>
    <t>This process describes the steps involved in creation of a Model Portfolio via TAP.</t>
  </si>
  <si>
    <t>This process describes the steps involved in creation of a Recommendation List via TAP.</t>
  </si>
  <si>
    <t>Add Skip to Watch List Entry</t>
  </si>
  <si>
    <t>Add Alias to Watch List Entry</t>
  </si>
  <si>
    <t>Add Watch List Entry</t>
  </si>
  <si>
    <t>Evaluate Customer Information File (CIF) Alert</t>
  </si>
  <si>
    <t>Evaluate Transaction Alert</t>
  </si>
  <si>
    <t>This process describes the activities involved in adding a Alias to Watch list entry. Alias is also referred to as AKA (Also Known As) and often used in Public list or Private (Global/ Local) lists as additional names or abbreviations associated to the main entry.</t>
  </si>
  <si>
    <t>This process describes the activities involved in adding a Skip to Watch list entry. Skip is a text that helps to reduce the number of false alerts of an entry. Skip prevents a hit from being triggered, when both entries in watch list and the associated skip are detected in the same field.</t>
  </si>
  <si>
    <t>This process describes the activities involved in adding a watch list entry to a watch list. Watch list entry can be created as a Public List or Private (Global/ Local) list.</t>
  </si>
  <si>
    <t>This process describes the activities involved in the creation and evaluation a generated CIF alert. CIF Alert Manager allows users to evaluate alerts on customer records, that have been detected during regular batch screening for the KYC reviews.</t>
  </si>
  <si>
    <t>This process describes activities involved in evaluating transaction alerts. Transaction alert manager displays cross border and/ or domestic transactions and messages that are subject to online Compliance screening.</t>
  </si>
  <si>
    <t>Evaluate Suspicious Activity Prevention (SAP) Alert</t>
  </si>
  <si>
    <t>Create Batch Manual Alert</t>
  </si>
  <si>
    <t>Create Case Investigations Through Knowledge Manager</t>
  </si>
  <si>
    <t>This process describes the activities involved in the creation of Case Investigations through Knowledge Manager. The Case Manager allows the user to investigate/ follow-up on an alert, Customer or any other entity. Provides data required to generate report for management or regulators.</t>
  </si>
  <si>
    <t>Revoke Open Banking Consent</t>
  </si>
  <si>
    <t>Perform Bulk Deactivation of Safe Deposit Box (USMB)</t>
  </si>
  <si>
    <t>Generate IRA Withdrawal Notice (USMB)</t>
  </si>
  <si>
    <t>Create IRA Deposit (USMB)</t>
  </si>
  <si>
    <t>Create IRA Savings Account (USMB)</t>
  </si>
  <si>
    <t>Change IRA Beneficiary (USMB)</t>
  </si>
  <si>
    <t>Amend IRA Withholding Percentage (USMB)</t>
  </si>
  <si>
    <t>Generate IRA Required Minimum Distribution (RMD) Notice (USMB)</t>
  </si>
  <si>
    <t>This process describes the activities involved in capturing Tax Details in different IRS Forms for End of the Year reporting.</t>
  </si>
  <si>
    <t>This process describes the activities involved in handling of mass deactivation of Safe Deposit Boxes using Mass Change Instructions</t>
  </si>
  <si>
    <t>This process describes the activities involved in printing of a IRA withdrawal (indicating that the customer has taken a distribution from his/her IRA deposit or account) notice based on customer request.</t>
  </si>
  <si>
    <t>This process describes the activities involved in creating an Individual Retirement time deposit (IRA). Initial contribution to deposit funding can be either through account transfer or through check.</t>
  </si>
  <si>
    <t>This process describes the activities involved in creating an Individual Retirement Savings Account (IRA). Initial deposit to the account can be either through account transfer or through check.</t>
  </si>
  <si>
    <t>This process describes the activities involved in changing beneficiary details of IRA account/ deposit based on customer request.</t>
  </si>
  <si>
    <t>This process describes the activities involved in amending withholding percentage for IRA account/ deposit at the request of the customer.</t>
  </si>
  <si>
    <t>This process describes the activities involved in viewing and printing RMD (required minimum distribution) notice for an IRA customer.</t>
  </si>
  <si>
    <t>This process describes the steps involved in setting up the accounting method for asset pooling fund structure. The module 'POOL' (Asset pooling) is necessary to activate this functionality. Dedicated Cost Accounts (B/S), Unrealized Results accounts (B/S and P&amp;L), Realized Results accounts (P&amp;L) are required for pooling investments. Realized and unrealized results generated in a pool investments are drilled down to their individual P&amp;L component by setting up the technical counterpart account. Both unrealized and realized Result in the pool accounts to be grouped under the same heading and balances are summed up in the NAV statement of changes report (SDNAV44 / SDNAV05)</t>
  </si>
  <si>
    <t>This process describes the steps involved in setting up the security master for asset pooling fund structure. All types of units, pools units must be defined in the security master file. At pool level, a Security ID must be parameterized for each pool unit for the attribution of a class of unit to the fund.</t>
  </si>
  <si>
    <t>15.4.2 Counterparty Administration</t>
  </si>
  <si>
    <t>Register Third Party</t>
  </si>
  <si>
    <t>15.4.3 Fund Administration</t>
  </si>
  <si>
    <t>Create Fund Master</t>
  </si>
  <si>
    <t>Define Exceptions at Fund Level</t>
  </si>
  <si>
    <t>This process describes the steps involved in setting up a basic fund master.</t>
  </si>
  <si>
    <t>This process describes the steps involved in configuring valuation and settlement exceptions for a fund.</t>
  </si>
  <si>
    <t>This process describes the steps involved in setting up equalization details for a fund.</t>
  </si>
  <si>
    <t>A multiclass fund is a fund which offers more than one share class of units where each class of units may differ based on features such as fees &amp; charges imposed, the currency in which each share class is denominated. All classes of units in a multiclass fund will invest in the same investment portfolio of securities and share the same investment policy and objective. The NAV is calculated for each share class and each share class can have different NAV values.</t>
  </si>
  <si>
    <t>This process describes the steps involved in assigning managers to a fund for book keeping at manager level. New managers needs to be created in Central Register with a Type 'GE' or use other element like 'DE' (Depositary) for example. Manger Fee is set up post fund assignment.</t>
  </si>
  <si>
    <t>This process describes the steps involved in setting up an asset pooling fund structure. The module 'POOL' (Asset pooling) is necessary to activate this functionality. Pooled funds can be defined as funds from many individual investors that are aggregated for the purposes of investment. Investors, in pooled fund investments, benefit from economies of scale, which allow for lower trading costs, diversification and professional money management.</t>
  </si>
  <si>
    <t>Set Up Fund Equalization</t>
  </si>
  <si>
    <t>Set Up Asset Pooling Fund Structure</t>
  </si>
  <si>
    <t>Revoke Open Banking Consent *</t>
  </si>
  <si>
    <t>Set Up Asset Pooling Accounting Method</t>
  </si>
  <si>
    <t>This process details the steps for pool orchestration. Restructure of pool happens when one of the following activity happens in the pool. - Remove: TR Account in the Pool can be moved out as a Standalone Account. - Change Parent: TR/ MTR can be moved to a different parent in the same Pool. - Change Pool: TR or CS/ SA Account in one Pool can be moved to a different Live Pool. - Close: Close TR/ MTR Account from the pool on the date set.</t>
  </si>
  <si>
    <t>This process describes the activities involved in opening and funding new account. It also depicts how to define the title for the account if automatic titling does not apply.</t>
  </si>
  <si>
    <t>This process describes the activities involved in the creation and evaluation of Batch manual alerts for batch profile. Profiling allows a user to evaluate the behavior of customers by using statistical data and discovering deviations from typical behavior. This operation is done in batch mode.</t>
  </si>
  <si>
    <t>Basket Options are derivatives with more than one underlying security with associated strike prices. The underlying could be any security (Equity / Bond/ Mutual Fund/ Index). They are either cash settled or physically settled (one or more of the underlying can be physically delivered). Currency (FX) Basket options are derivatives with more than one underlying currency pairs with associated strike exchange rates. The basket can be any one of the following types based on how the Payoff is determined on Exercise. - Equal-weighted - Custom-weighted - Best-of-the-basket - Worst-of-the-basket</t>
  </si>
  <si>
    <t>This process describes the activities of cancelling an Instant Payment that was initiated and sent to the Beneficiary Bank. Cancellation is requested by sending camt.056 within the acceptance period to Clearing or Direct Participant based on the participation type.</t>
  </si>
  <si>
    <t>This process describes the response received (pacs.002 &amp; admi.002) from Clearing for the original remittance request sent. On receipt of response, the status of the transaction is updated. A positive response will generate accounting entries. A negative response will lead to unblock of funds raised during execution of payment. For message admi.002, the transaction is cancelled and customer informed.</t>
  </si>
  <si>
    <t>Set Up Multi-Manager Fund</t>
  </si>
  <si>
    <t>Set Up Multiclass Fund</t>
  </si>
  <si>
    <t>Set Up Security Master for Asset Pooling</t>
  </si>
  <si>
    <t>Set Up Segment - Master Fund</t>
  </si>
  <si>
    <t>Execute Outward Bulk ACH Credit Transfer (USMB)</t>
  </si>
  <si>
    <t>Execute Ad-hoc ACH Credit Transfer for Corporate Customer (USMB)</t>
  </si>
  <si>
    <t>Execute Ad-hoc ACH Debit Transfer for Corporate Customer (USMB)</t>
  </si>
  <si>
    <t>Execute Ad-hoc ACH Credit Transfer for Retail Customer (USMB)</t>
  </si>
  <si>
    <t>Initiate Ad-hoc ACH Credit Transfer for Retail Customer (USMB)</t>
  </si>
  <si>
    <t>Execute ACH Return (USMB)</t>
  </si>
  <si>
    <t>Set Up ACH Direct Debit Order (USMB)</t>
  </si>
  <si>
    <t>Cancel ACH Direct Debit Order (USMB)</t>
  </si>
  <si>
    <t>Perform Sanction Screening (USMB)</t>
  </si>
  <si>
    <t>Execute Outward Bulk ACH Debit Transfer (USMB)</t>
  </si>
  <si>
    <t>Receive and Execute Instant Payments (Nordic)</t>
  </si>
  <si>
    <t>This process describes the activities involved in cancelling a Nordic Instant Payment that was initiated and sent to the Beneficiary Bank. Cancellation is requested by sending camt.056 within the acceptance period to Clearing.</t>
  </si>
  <si>
    <t>This process describes activities involved in capturing the response from Clearing for cancellation request sent. Based on the response, the cancellation request is processed.</t>
  </si>
  <si>
    <t>This process describes the activities involved in execution of outward ACH credit transfer for corporate customers via bulk upload. Transaction processing and accounting entries generation is an automated process perform by the system based on pre-defined parameters.</t>
  </si>
  <si>
    <t>This process describes the activities involved in execution of outward ACH debit transfer for corporate customers via bulk upload. Transaction processing and accounting entries generation is an automated process perform by the system based on pre-defined parameters.</t>
  </si>
  <si>
    <t>This process describes the activities involved in execution of ad-hoc ACH credit transfer for corporate customers. Transaction processing and accounting entries generation is an automated process perform by the system based on pre-defined parameters.</t>
  </si>
  <si>
    <t>This process describes the activities involved in execution of ad-hoc ACH debit transfer for corporate customers. Transaction processing and accounting entries generation is an automated process perform by the system based on pre-defined parameters.</t>
  </si>
  <si>
    <t>This process describes the activities involved in execution of ad-hoc ACH credit transfer for retail customers.</t>
  </si>
  <si>
    <t>This process describes activities associated with initiating an ACH credit transfers for retail customers. The Payment Order application captures the payment instructions from the customer. Payment Orders can be validated/ executed based on the Payment order parameter setup available for the Bank.</t>
  </si>
  <si>
    <t>This process describes activities associated with return process of incoming ACH credit/debit transactions. Original ACH transaction will be reversed and new outgoing return transaction will be generated.</t>
  </si>
  <si>
    <t>The process describes activities associated with registering an outward direct debit mandate in the system.</t>
  </si>
  <si>
    <t>This process describes the activities associated with the cancellation of a Direct Debit mandate.</t>
  </si>
  <si>
    <t>This process describes the activities associated with Financial crime mitigation process. Payment transactions will be screened to identify financial crimes, including money laundering, terrorism financing, cybercrime, fraud, and tax evasion.</t>
  </si>
  <si>
    <t>Initiate Asian Option</t>
  </si>
  <si>
    <t>Manage User (TAP) (Channel)</t>
  </si>
  <si>
    <t>This process describes the activities involved in the management of user via TAP.</t>
  </si>
  <si>
    <t>Create Automatic Alert Evaluation (AAE) Rule</t>
  </si>
  <si>
    <t>This process describes the activities involved in creation of Automatic Alert Evaluation (AAE) rules. AAE is a secondary screening engine that evaluates and decides if a hit can be ignored. AAE does this using a comprehensive set of business rules. In case no decision is reached then the preliminary evaluation by AAE is passed to the Screen Alert Manager and human review and evaluation is done.</t>
  </si>
  <si>
    <t>Flush Suspect Messages</t>
  </si>
  <si>
    <t>This process describes the activities that allows user to evaluate and Flush Suspect Messages. Flush is a process by which messages are released with a special authorisation, directly bypassing the standard workflow. This functionality is utilised when alerts are generated in high volumes during emergencies or incident case and cannot be handled with available resources.</t>
  </si>
  <si>
    <t>Add Skip Through Transaction Alert Manager</t>
  </si>
  <si>
    <t>This process describes the activities involved in adding a Skip using Transaction Alert Manager. Skip is a text that helps to reduce the number of false alerts of an entry. Skip prevents a hit from being triggered, when both entries in watch list and the associated skip are detected in the same field.</t>
  </si>
  <si>
    <t>Create Automatic Alert Evaluation (AAE) Rule for Profile</t>
  </si>
  <si>
    <t>This process describes the activities involved in creation of Automatic Alert Evaluation (AAE) rule for Profile. AAE is a secondary screening engine that evaluates and decides if a hit can be ignored. AAE does this using a comprehensive set of business rules. In case no decision is reached then the preliminary evaluation by AAE is passed to the Screen Alert Manager and human review and evaluation is done.</t>
  </si>
  <si>
    <t>Manage Customer Details</t>
  </si>
  <si>
    <t>This process describes the activities involved in updating customer data in FCM suite i.e., Assessment, Risk Level, Case, Manual Alert, Compliance and Accounts.</t>
  </si>
  <si>
    <t>15.5 Transaction Booking</t>
  </si>
  <si>
    <t>Book Equity Swap Contract</t>
  </si>
  <si>
    <t>Book Futures Contract (Open Position)</t>
  </si>
  <si>
    <t>Book Interest Rate Swap Transaction</t>
  </si>
  <si>
    <t>Book Options Contract (Open Position)</t>
  </si>
  <si>
    <t>Exercise Options</t>
  </si>
  <si>
    <t>Process Early Maturity of Futures Contract</t>
  </si>
  <si>
    <t>Process Early Maturity of Options Contract</t>
  </si>
  <si>
    <t>Process Equity Swap Closing</t>
  </si>
  <si>
    <t>Process Futures Closing</t>
  </si>
  <si>
    <t>Process Interest Payment For Swap Contract (Manual)</t>
  </si>
  <si>
    <t>Process Options Closing</t>
  </si>
  <si>
    <t>This process describes the activities involved in booking a position on equity swap. The two cash flows involved in the swap transaction are referred to as "legs" of the swap, one of these legs is usually attached to a floating rate such as LIBOR. The other leg (equity leg) of the swap is based on the performance of either a share of stock or a stock market index. An equity swap involves a notional principal, a specific tenor and predetermined payment intervals.</t>
  </si>
  <si>
    <t>This process describes the activities involved in booking a futures contract. Position of an existing contract can be extended by continuing the contract. Rebooking or editing futures is similar to rebooking of stock/ bond transaction.</t>
  </si>
  <si>
    <t>This process describes the activities involved in booking a position on interest rate swap.</t>
  </si>
  <si>
    <t>This process describes the activities involved in booking a Loan/ Deposit. Loan transactions are processed in order to record a borrowing with specific interest payments and fee scheduling. Fixed Term Deposits can similarly be booked and processed for receipt of principal and interest on maturity date.</t>
  </si>
  <si>
    <t>This process describes the activities involved in booking an options contract. Position of an existing contract can be extended by continuing the contract.</t>
  </si>
  <si>
    <t>This process describes the activities involved in booking a stock or bond transaction.</t>
  </si>
  <si>
    <t>This process describes the activities involved in booking a subscription or redemption of a fund. Subscription/ redemption transaction is booked on a fund by the shared class, set up at fund master level. Subscription/ redemption transaction on a fund can also be booked at manager level for a multi-manager fund.</t>
  </si>
  <si>
    <t>This process describes the activities involved in exercising an options contract. Execution of the contract creates accounting entries for options exercised. The premium paid/ received at the time of contract opening is accounted for in P&amp;L accounts. Off balance sheet accounts are cleared and the option position is updated.</t>
  </si>
  <si>
    <t>This process describes the activities involved in editing a booked transaction. Transactions only in 'Outstanding' status can be edited.</t>
  </si>
  <si>
    <t>This process describes the activities involved in processing of early maturity of futures contract.</t>
  </si>
  <si>
    <t>This process describes the activities involved in processing maturity of options contract which has not been previously closed, exercised at maturity or at expiration. The initial premium amount is realized as a gain amount (for short positions) or a loss amount (for long positions).</t>
  </si>
  <si>
    <t>This process describes the activities involved in closing an Equity swap position.</t>
  </si>
  <si>
    <t>This process describes the activities involved in closure of a futures position. An existing Futures position can be partially or totally closed. The system retrieves the information included in the contract. Trade date, value date, counterparty, quantity, price, fees (optional), and margins (optional) must be provided. The difference in price of the contract is booked into profit and loss accounts; the off-balance sheet accounts are partially (or totally) cleared; the initial margins are partially (or totally) returned.</t>
  </si>
  <si>
    <t>This process describes the steps involved in processing interest payment of swap contract. The fund has to be defined with settlement method (7 - Manual settlement accounting or 8 - Automatic maturity accounting) to allow the interest payment to be done automatically by the system.</t>
  </si>
  <si>
    <t>This process describes the activities involved in processing a repayment for loan or deposit.</t>
  </si>
  <si>
    <t>This process describes the activities involved in closure of an option position.</t>
  </si>
  <si>
    <t>This process describes the activities involved in Rebooking Stock/ Bond Transaction. A trade can be rebooked after initial accounting is completed. Fees and/ or deal exchange rate (for deals in a foreign currency) changed/ updated. If subsequent deals exists, system automatically adjusts average book-cost of concerned security and realized results are recalculate/ rebooked. Newly realized gain/ loss is based on the recalculated average book cost. Trades that are initially entered and not confirmed are considered as soft trades and when they get confirmed via a rebooking they are considered as hard trades.</t>
  </si>
  <si>
    <t>Receive Response from Clearing (Instant) (Nordic)</t>
  </si>
  <si>
    <t>Execute Inward Credit Transfer (Instant) (Nordic)</t>
  </si>
  <si>
    <t>Initiate Cancellation Requests (Instant) (Nordic)</t>
  </si>
  <si>
    <t>Execute Cancellation Request from Clearing (Instant) (Nordic)</t>
  </si>
  <si>
    <t>Execute ACH Direct Debit Order (USMB)</t>
  </si>
  <si>
    <t>This process describes the activities involved in creation of a derivatives master for all instruments (futures, stocks or options) that is traded in the exchange. An Asian or non Asian derivative master is created based on option style of the instrument.</t>
  </si>
  <si>
    <t>This process describes activities associated with initiation of new savings pot and modification of existing savings pot by a retail customer.</t>
  </si>
  <si>
    <t>This process describes the activities involved in manual input of a Asian style derivatives trade. In an Asian Style Option, the spot price is observed on different days and an averaging mechanism is used to determine the Option pay out.</t>
  </si>
  <si>
    <t>Transact allows manual input of a direct derivatives (DX) trade. This will be used for OTC derivative contracts where there is no order management. Also when different Order management systems are used, a direct DX trade may suffice in Transact.</t>
  </si>
  <si>
    <t>1.1.1 Accounts and Deposits</t>
  </si>
  <si>
    <t>Complete KYC Check (Corporate) *</t>
  </si>
  <si>
    <t>Manage Customer Engagements (Retail) *</t>
  </si>
  <si>
    <t>Open Current Account (Corporate) *</t>
  </si>
  <si>
    <t>Manage Account To Account Transfer of IRA Contribution (USMB)</t>
  </si>
  <si>
    <t>Manage Account To Account Transfer of IRA Distribution (USMB)</t>
  </si>
  <si>
    <t>Set Up Auto IRA Distribution (USMB)</t>
  </si>
  <si>
    <t>This process describes the activities involved in the creation, modification or cancellation of Auto IRA Distribution plan.</t>
  </si>
  <si>
    <t>Cancel Standing Order (USMB)</t>
  </si>
  <si>
    <t>Initiate Outgoing FEDWIRE Credit Transfer (USMB)</t>
  </si>
  <si>
    <t>This process describes the activities associated with initiating FEDWIRE credit transfer. Payment instruction from customer is captured in the Payment Order application. Payment Order is validated/ executed based on the Payment Order parameter setup.</t>
  </si>
  <si>
    <t>Execute Outgoing FEDWIRE Credit Transfer (USMB)</t>
  </si>
  <si>
    <t>This process describes the activities associated in executing an FEDWIRE credit transfer.</t>
  </si>
  <si>
    <t>Execute Incoming FEDWIRE Credit Transfer (USMB)</t>
  </si>
  <si>
    <t>This process describes the activities associated in executing an incoming FEDWIRE credit transfer.</t>
  </si>
  <si>
    <t>The process begins with the receipt of outward remittance request from the customer. Necessary validations (e.g. duplicate check) are done before processing the remittance. A cover message is automatically generated if the remitting Bank does not have a Nostro account relationship with Correspondent Bank. The payment can be sent via SWIFT or through SWIFT and local clearing based on Routing and Settlement configuration</t>
  </si>
  <si>
    <t>This process describes the activities for the execution of 'electronically' received credit transfer requests in favour of (3rd party) clients, which will be redirected accordingly. The process also covers scenarios for 'hold for cover' and 'claims'. The payment can be sent via SWIFT or through SWIFT and local clearing based on Routing and Settlement configuration.</t>
  </si>
  <si>
    <t>Initiate and Execute Outward Request To Pay</t>
  </si>
  <si>
    <t>Receive and Execute Inward Request To Pay</t>
  </si>
  <si>
    <t>This process describes the steps involved in receiving &amp; initiating an outward Request To Pay (RTP). After successful validations, Request To Pay (pain.013) is sent to Central Infrastructure. If validations fails, Request To Pay is rejected and customer is informed.</t>
  </si>
  <si>
    <t>This process describes the steps involved in receiving &amp; processing an Inward Request To Pay (RTP). The Request To Pay is validated and send to the payer. Based on the scheme, the payer chooses the response and an message is sent to Clearing/ Central Infrastructure.</t>
  </si>
  <si>
    <t>Add Parameter</t>
  </si>
  <si>
    <t>Simulate Jobs Using Command Level Interface (CLI)</t>
  </si>
  <si>
    <t>This process describes the activities involved in adding a new parameter. The Parameters Wizard is a view into Knowledge Manager where all data and data tables of FCM modules are available.</t>
  </si>
  <si>
    <t>This process describes the workings of simulation platform in FCM. The simulation platform is a set of applications that allow the user to process messages, through the sanction-screening module, several times with different configuration to compare the results. GUI allows running of the entire process without accessing the server on which the different applications are located.</t>
  </si>
  <si>
    <t>Create and Generate Custom Report</t>
  </si>
  <si>
    <t>View Message Status</t>
  </si>
  <si>
    <t>This process describes the activities involved in generation of custom reports. Generated reports can be exported in XML, PDF or CSV format for reporting purposes.</t>
  </si>
  <si>
    <t>This process describes the activities involved in viewing the status of an alert message. Message details such as Msg. type, Time stamp, Company, Transaction details, Hit or No Hit and Msg. format can be viewed along with status. Further action can be taken based on the message status.</t>
  </si>
  <si>
    <t>This process describes the activities involved in manual booking of fee payments. Fee payment allows liquidating accrued expenses calculated via NAV charge parameters. On payment completion corresponding accrued expenses amount is automatically decreased.</t>
  </si>
  <si>
    <t>Create Security Master for Target Fund</t>
  </si>
  <si>
    <t>Set Up Fund Charges</t>
  </si>
  <si>
    <t>This process describes the activities involved in the securitization of funds to enable fund of funds investment and to facilitate appropriate fee calculation at individual fund levels. Target funds are those in which fund of an investment company purchases investment fund of the same company.</t>
  </si>
  <si>
    <t>This process describes the activities involved in setting up of fee parameters (also called "NAV charges"). The fee parameters allows setting various kinds of charges which facilitate automatic calculation and booking of fee accruals during the NAV processing.</t>
  </si>
  <si>
    <t>15.4.4 Expense Set Up</t>
  </si>
  <si>
    <t>Set Up Fund of Funds Fee</t>
  </si>
  <si>
    <t>Set Up Performance Fee</t>
  </si>
  <si>
    <t>Set Up Rebate Fee</t>
  </si>
  <si>
    <t>This process describes the activities involved in fee parameter set up for target funds in which earlier calculated charges needs to be deducted and fund charges to be calculated. Target funds are those in which funds of an investment company purchases investment fund of same company.</t>
  </si>
  <si>
    <t>15.4.5 Pricing</t>
  </si>
  <si>
    <t>Generate Stale Price Report</t>
  </si>
  <si>
    <t>Inject Fair Value Price</t>
  </si>
  <si>
    <t>Inject Prices for Securities</t>
  </si>
  <si>
    <t>Set Up Fair Value Pricing Model</t>
  </si>
  <si>
    <t>Set Up Pricing Rule</t>
  </si>
  <si>
    <t>Set Up Yield Based Pricing</t>
  </si>
  <si>
    <t>This process describes the activities involved in extracting report to display the number of days that a security has been stale. Pricing module (PRMO) needs to be activated to trigger the functionality.</t>
  </si>
  <si>
    <t>This process described the activities involved in loading and processing of fair value price file.</t>
  </si>
  <si>
    <t>This process describes the activities involved in loading price file through loader for updating security prices. Pricing module (PRMO) needs to be activated to trigger the functionality.</t>
  </si>
  <si>
    <t>This process describes the activities involved in setting up of fair value pricing model for automatic calculation of fair value prices for securities using triggers and confidence coefficients. One index per fund (or NAV group) should be designated as 'Universal Trigger'. When the variation for that index is greater than the tolerance level, the fund's holdings will be fair valued. Local indices can be set up for funds and markets so that if universal trigger is not met, then certain holdings can still be fair valued if a local index experiences large fluctuation.</t>
  </si>
  <si>
    <t>This process describes the activities involved in building pricing rules. Configuration of pricing rule should be done before starting the pricing activity. These rules are used by pricing module to find the best price for each security. Pricing module (PRMO) needs to be activated to trigger the functionality.</t>
  </si>
  <si>
    <t>This process describes the activities involved in configuring pricing module to manage the yield. Configured yield is used to calculate new price that will be used in the valuation.</t>
  </si>
  <si>
    <t>15.6 Workflow Setup</t>
  </si>
  <si>
    <t>Create Checklist for NAV Workflow</t>
  </si>
  <si>
    <t>Process Workflow Checklist By Group</t>
  </si>
  <si>
    <t>Set Up Process Group for NAV Processing</t>
  </si>
  <si>
    <t>This process describes the activities associated with creation of a Workflow and Exception Manager (WEM) checklist for NAV. Workflow and Exception Manager (WEM) helps to run different processes, by launching related control and associated activities, which comprise the regular cycle of a fund. The activities associated to the fund cycle are organized in a WEM checklist sequentially.</t>
  </si>
  <si>
    <t>This process flow describes the activities involved in processing a Workflow and Exception Manager (WEM) checklist. The WEM checklist activities defined can be processed based on a fund group. The fund accountant can take action based on the process breaks reported as per the control defined. The fund supervisor can review the actions for proceeding further on the checklist activities.</t>
  </si>
  <si>
    <t>This process flow describes the activities involved in setting up a process group for NAV. The various controls and NAV processing parameters associated with the activities are defined in the process group.</t>
  </si>
  <si>
    <t>Process Incoming Statement Request</t>
  </si>
  <si>
    <t>Execute Standing Order Payment (USMB)</t>
  </si>
  <si>
    <t>This process describes the activities involved in processing Nordic inward credit cancellation request. The cancellation request received from clearing is validated and executed. Cancellation Request is rejected in case the request is received after cancel acceptance days.</t>
  </si>
  <si>
    <t>This process describes the activities involved in processing contribution to an IRA deposit or account for either initial funding or as periodic manual contribution to the IRA account or deposit.</t>
  </si>
  <si>
    <t>This process describes the activities involved in processing distribution to an IRA deposit or account for either initial funding or as periodic manual distribution to IRA account or deposit.</t>
  </si>
  <si>
    <t>Process Clearing Status Report for Direct Debit Collection (XML)</t>
  </si>
  <si>
    <t>Process Clearing Status Report for Direct Debit Collection (XML) *</t>
  </si>
  <si>
    <t>This process describes activities associated with managing profile related changes by a Retail customer.</t>
  </si>
  <si>
    <t>Execute Bank Transfer (Euro SIC)</t>
  </si>
  <si>
    <t>Execute Inward Credit Transfer (Euro SIC)</t>
  </si>
  <si>
    <t>Initiate Outward Remittance Cancellation Request (Euro SIC)</t>
  </si>
  <si>
    <t>This process describes the activities involved in executing Euro SIC Clearing RTGS outward payment initiated by the Customer. Necessary validations (e.g. duplicate check) are performed and if a payment is incorrect, it can be manually repaired or cancelled. If validations are successful, necessary accounting entries are raised and the funds are sent to clearing.</t>
  </si>
  <si>
    <t>This process describes the activities involved in executing Euro SIC Clearing RTGS outward remittance initiated by the bank (internally) or received from other banks. Necessary validations (e.g. duplicate check) are done before processing the remittance. The funds are then debited from the Nostro or Vostro account, credited to the clearing account and a message is generated to clearing.</t>
  </si>
  <si>
    <t>This process describes the activities involved in execution of Inward credit transfer from Euro SIC Clearing. Post validation and sanctions, funds will be credited to beneficiary/ beneficiary bank account based on the transaction type. If validation fails, transaction is manually repaired or returned.</t>
  </si>
  <si>
    <t>Process Clearing Status Report (Euro SIC)</t>
  </si>
  <si>
    <t>This process describes the activities involved in cancelling an Euro SIC payment that was initiated and sent to the Clearing. Cancellation is requested by sending camt.056 within the acceptance period to Clearing. Based on the response received, the cancellation is either processed or rejected.</t>
  </si>
  <si>
    <t>The process describes the activities involved in receiving cancellation request from Euro SIC clearing. The related payment can be returned automatically or placed in manual queue for approval. If a payment cannot be returned a cancellation message (camt.029) is sent.</t>
  </si>
  <si>
    <t>The process describes transfer between two NOSTRO accounts maintained by the bank. The output will be generation of outgoing messages like MT 200(Financial Institutions transfer for its own account) or a MT202(General Financial Institution transfer or pacs.009 message (Financial Institution Credit Transfer) and confirmation messages like MT900 (confirmation of debit) &amp; MT910 (confirmation of credit).</t>
  </si>
  <si>
    <t>Execute Outward Direct Debit Collection Request (BECS)</t>
  </si>
  <si>
    <t>This process describes the activities involved in receiving and executing BECS outward Direct Debit collection request. On the claim date, system automatically generates and sends the Claim file to TPH. Necessary validations (e.g. duplicate check) are done before processing. The claim will be sent to clearing and accounting/ settlement entries will be posted.</t>
  </si>
  <si>
    <t>Execute Direct Debit Return Request from Debtor Bank (BECS)</t>
  </si>
  <si>
    <t>This process describes the activities involved in executing a return request initiated by debtor bank for a settled Outward Direct Debit. Necessary validations (e.g. Identifying Original transaction) are done before processing the return request. Post validation, beneficiary account will be debited and the amount posted to clearing account. If a payment is incorrect it can be repaired or rejected by an operator.</t>
  </si>
  <si>
    <t>Process Reversal Request of Inward Direct Debit Collection (COELSA)</t>
  </si>
  <si>
    <t>The process describes the activities involved in processing COELSA Direct Debit reversal requests. Necessary validations (e.g. Identifying Original transaction) are done before processing the request. Post validation, clearing account is debited and the funds are credited back to the customer (Debtor) account</t>
  </si>
  <si>
    <t>The process depicts the set up of signatory groups and mandates. Customer is attached to respective signatory group. Mandate Application group is formed by logically grouping Transact applications/ versions. The mandate requirement can be defined for customer, account or portfolio and in turn linked to the appropriate application group and mandates.</t>
  </si>
  <si>
    <t>This process describes the activities involved in capturing signatory group, mandates, mandate application group and attaching them to mandate requirements. Validations are performed against the mandate when a transaction is executed for respective customer, account or portfolio.</t>
  </si>
  <si>
    <t>1.7 Multicurrency Processes</t>
  </si>
  <si>
    <t>Create Multi Currency Arrangement</t>
  </si>
  <si>
    <t>Perform Share Transfer for Facility (Corporate)</t>
  </si>
  <si>
    <t>This process describes the activities involved in performing a Share Transfer for a Facility. The activity is either initiated by the own bank or based on an intimation received from another participant. Share Transfer can be performed between two existing participants, between an existing participant and new participant or as a Buy-back activity (Own bank buys back share of all other participants involved in the Facility)</t>
  </si>
  <si>
    <t>Perform Share Transfer for Standalone Loan (Corporate)</t>
  </si>
  <si>
    <t>Receive Request for Direct Debit E-Mandate (Inward)</t>
  </si>
  <si>
    <t>11.3 India Specific Processes</t>
  </si>
  <si>
    <t>11.3.1 Corporate Banking Processes (INMB)</t>
  </si>
  <si>
    <t>11.3.1.1 Account Maintenance (INMB)</t>
  </si>
  <si>
    <t>Initiate Charge Reversal (INMB)</t>
  </si>
  <si>
    <t>11.3.1.2 Loan Maintenance (INMB)</t>
  </si>
  <si>
    <t>Perform Loan Rollover (INMB)</t>
  </si>
  <si>
    <t>Repay Past Due for Loan Rollover (INMB)</t>
  </si>
  <si>
    <t>11.3.1.3 Trade Finance (INMB)</t>
  </si>
  <si>
    <t>Issue Electronic Bank Realisation Certificate (eBRC) (INMB)</t>
  </si>
  <si>
    <t>Manage Electronic Bank Realisation Certificate (eBRC) (INMB)</t>
  </si>
  <si>
    <t>This process describes the activities involved in reversing charges from/ to P&amp;L account. As per regulation, reversal transaction should hold the original transaction reference number.</t>
  </si>
  <si>
    <t>This process describes the activities involved in rollover of short-term loans to keep in line with Regulatory compliance. The rollover process involves closing of the existing loan and creating a new loan. Modification of the values defaulted from parent loan to the rollover loan is permitted.</t>
  </si>
  <si>
    <t>The process describes activities involved in the repayment of past dues of a loan being closed for the purposes of rollover.</t>
  </si>
  <si>
    <t>This process describes the activities involved in issuing Electronic Bank Realization Certificate (BRC) or eBRC to the exporter for claiming benefits under the various schemes of Foreign Trade Policy.</t>
  </si>
  <si>
    <t>This process describes the activities involved in the reissue or cancellation of eBRC certificate.</t>
  </si>
  <si>
    <t>Set Up Valuation Model</t>
  </si>
  <si>
    <t>This process describes the activities involved in setting up Valuation model. Through Valuation model the instruments and accounts with the same characteristics can be categorized to specific groups that are user definable for the purpose of overall reporting post valuation or NAV process.</t>
  </si>
  <si>
    <t>15.4.6 NAV Processing</t>
  </si>
  <si>
    <t>15.4.7 Corporate Action Administration</t>
  </si>
  <si>
    <t>Perform NAV Processing</t>
  </si>
  <si>
    <t>Roll Fund Accounting Date (Manual)</t>
  </si>
  <si>
    <t>Announce and Process Dividend</t>
  </si>
  <si>
    <t>Announce and Process Corporate Action</t>
  </si>
  <si>
    <t>Create User Access</t>
  </si>
  <si>
    <t>Migrate and Set Up Interface for Securities</t>
  </si>
  <si>
    <t>Perform Data Migration</t>
  </si>
  <si>
    <t>Set Up Fee for Fund</t>
  </si>
  <si>
    <t>This process describes the activities involved in processing NAV.</t>
  </si>
  <si>
    <t>This process describes the activities involved in rolling the Fund Accounting Date (FAD) manually. Fund is rolled over using the scheduler and configuring the AC process.</t>
  </si>
  <si>
    <t>This process describes the activities involved in announcing and processing dividends.</t>
  </si>
  <si>
    <t>13.5 Common Processes</t>
  </si>
  <si>
    <t>13.6 Qualified Intermediary</t>
  </si>
  <si>
    <t>Create and Manage Qualified Intermediary</t>
  </si>
  <si>
    <t>Resubmit Flushed Messages for Rescreening</t>
  </si>
  <si>
    <t>This process describes the activities involved in rescreening of flushed messages with multiple options. Previously flushed messages can be resubmitted for new screening against the interdict entries.</t>
  </si>
  <si>
    <t>Evaluate Messages in Bulk</t>
  </si>
  <si>
    <t>This process describes the activities involved in Bulk evaluation of messages. The Bulk Evaluate module provides the functionality where known false hits can be identified across all messages that are in “input” state (i.e. new alerts) and evaluated in bulk to false. This would only affect the actual problematic hits and leave other hits untouched. This allows automatic release of messages containing no other hits.</t>
  </si>
  <si>
    <t>Create Automatic Alert Evaluation (AAE) Rule (SAP)</t>
  </si>
  <si>
    <t>This process describes the activities involved in creation of Suspicious Activity Prevention Automatic Alert Evaluation (AAE) rules. AAE is a secondary screening engine that evaluates and decides if a hit can be ignored. AAE does this using a comprehensive set of business rules. In case of no decision then the preliminary evaluation by AAE is passed to the SAP Alert Manager for manual intervention.</t>
  </si>
  <si>
    <t>This process describes the activities involved in opening multi-currency arrangement for a customer. A multi-currency arrangement account is a type of account that allows its owner to have multiple currencies under a single account structure and in this structure customer can hold, send and receive money in multiple currencies.</t>
  </si>
  <si>
    <t>The process describes the activities involved in processing of cancellation/ call back of outward remittance for Non-GPI enabled banks at the back office. The cancellation will be taken up after sighting the credit in the bank's Nostro account. Based on the confirmation received, the cancellation request is processed. If the recall is accepted, the customer is credited back else, the customer is informed on the recall rejection.</t>
  </si>
  <si>
    <t>This process describes activities associated with managing alerts and messages by a Retail customer.</t>
  </si>
  <si>
    <t>This process describes the steps involved in processing response received for an previously initiated Request To Pay order. Accounting entries are generated if a positive response is received and for a negative response (Final) or interim response, the status is updated, and customer is informed. For due date extension request, the response from the requestor is obtained and forwarded to Central Infrastructure.</t>
  </si>
  <si>
    <t>This process describes the activities involved in configuring Fee parameter which allows setting various kinds of charges to automatically calculate and book fee accruals during NAV process.</t>
  </si>
  <si>
    <t>14.7 Analysis Processes</t>
  </si>
  <si>
    <t>Generate SFMS Message for Inland BG (INMB)</t>
  </si>
  <si>
    <t>Generate SFMS Message for Inland LC (INMB)</t>
  </si>
  <si>
    <t>Set Up SFMS (INMB)</t>
  </si>
  <si>
    <t>Create Equity Swap Master</t>
  </si>
  <si>
    <t>This process describes the activities involved in setting up the security master for equity swap instrument. The Equity Swap Id can then be used to book an EQS position.</t>
  </si>
  <si>
    <t>This process describes the activities involved in closure of a deal arrangement. A deal can be closed only if all underlying facilities are closed. The closure details are captured and simulation performed for outstanding balance in the deal. Payment Order is initiated for repayment of deal outstanding. Post settlement the deal is closed.</t>
  </si>
  <si>
    <t>This process describes the activities involved in closure of a facility arrangement. A deal can be closed only if all underlying facility and loans are closed. Payment order is initiated for repayment of facility outstanding (Fee and loan outstanding). Post settlement the underlying loan arrangements and facility are auto closed.</t>
  </si>
  <si>
    <t>Manage Strategies (TAP) (Channel)</t>
  </si>
  <si>
    <t>Initiate and Execute Outward Saudi Request To Pay</t>
  </si>
  <si>
    <t>Receive Response for Outward Saudi Request To Pay</t>
  </si>
  <si>
    <t>This process describes the steps involved in receiving &amp; initiating an outward Saudi Request To Pay (RTP). After successful validations, Request To Pay (pain.013) is sent to Central Infrastructure. If validations fails, Request To Pay is rejected and customer is informed.</t>
  </si>
  <si>
    <t>This process describes the steps involved in processing response received for an previously initiated Saudi Request To Pay order. Accounting entries are generated if a positive response is received and for a negative response (Final) or interim response, the status is updated and customer is informed.</t>
  </si>
  <si>
    <t>Receive and Execute Inward Saudi Request To Pay</t>
  </si>
  <si>
    <t>Execute Inward Credit Transfer (Interac)</t>
  </si>
  <si>
    <t>This process describes the activities involved in executing return of funds from clearing. The original transaction is identified and funds credited back to customer account. If validation fails, transaction will be rejected.</t>
  </si>
  <si>
    <t>Process Return of Outward Remittance (Interac)</t>
  </si>
  <si>
    <t>Execute Inward Direct Debit Collection Request (Interac)</t>
  </si>
  <si>
    <t>This process describes the activities of receiving and validating Inward Direct Debit collection request (pacs.003).If Inward Direct Debit request is incorrect, it will be rejected. Debit acknowledgment will be sent to clearing once the transfer is processed successfully</t>
  </si>
  <si>
    <t>This process describes the activities involved in performing Split/ Merge/ Rollover of Drawings under a Facility. The activity is initiated from the Facility and is performed on one or more of the underlying drawings. The following types of activities can be performed: - Split an existing drawings into multiple new drawings - Merge two or more existing drawings into a new drawing - Rollover an existing drawings.</t>
  </si>
  <si>
    <t>This process describes the activities involved in performing Split/ Merge/ Rollover of Drawings. The activity is initiated from Drawings under a Facility and is performed on one or more drawings under the facility. The following types of activities can be performed: - Split an existing drawings into multiple new drawings - Merge two or more existing drawings into a new drawings - Rollover an existing drawing.</t>
  </si>
  <si>
    <t>This process describes the activities involved in issuance of Inland LC and generation of SFMS message.</t>
  </si>
  <si>
    <t>This process describes the activities involved in issuance of Inland Guarantee and the generation of SFMS message.</t>
  </si>
  <si>
    <t>This process describes the activities involved in setting up Structured Financial Messaging System (SFMS). SFMS is the Indian standard for domestic financial messaging for centralised payment system similar to SWIFT for international transfers. SFMS allows intra / inter bank message transfer. This also provides for transfer of file attached in a secured mode.</t>
  </si>
  <si>
    <t>Capture Purpose Code for Outward Remittance (INMB)</t>
  </si>
  <si>
    <t>Issue Foreign Inward Remittance Certificate (FIRC) (INMB)</t>
  </si>
  <si>
    <t>Reissue Foreign Inward Remittance Certificate (FIRC) (INMB)</t>
  </si>
  <si>
    <t>This process describes the activities involved in capturing Purpose Code during initiation of an Outward remittance. Purpose Code is issued by RBI to classify the nature of a foreign currency transaction. The Purpose Code helps regulators in identifying the exact nature of a cross-border transaction.</t>
  </si>
  <si>
    <t>This process describes the activities involved in the Issuance of Foreign Inward Remittance Certificate when foreign currency is remitted into an account. FIRC (Foreign Inward Remittance Certificate) is a document that acts as proof of foreign transfers into India. Banks are required to issue certificates to beneficiaries as supporting evidence for claiming various facilities/ benefits/ entitlements under Government regulations.</t>
  </si>
  <si>
    <t>Process Merchanting Trade During LC Payment (INMB)</t>
  </si>
  <si>
    <t>Process Merchanting Trade During Opening of LC (INMB)</t>
  </si>
  <si>
    <t>This process describes the activities involved in Merchanting Trade transaction. Merchanting Trade transaction involves shipment of goods from one foreign country to another foreign country via an Indian Intermediary. A linkage is created between import and export transaction during the LC payment.</t>
  </si>
  <si>
    <t>Process Withholding Tax For Income Received By Qualified Intermediary</t>
  </si>
  <si>
    <t>Process Income Reclassification</t>
  </si>
  <si>
    <t>This process describes the activities involved in processing Withholding Tax for Income based transactions by Qualified Intermediary. QI tax calculation is not applicable if the customer is taxable under FATCA. If Portfolio has single ownership, then withholding tax is calculated using QI status and Portfolio specific tax rate of the customer. If the portfolio has joint ownership, then withholding tax is calculated based on the highest tax rate of the customers after considering their Tax Residence and QI status. The calculated withholding tax amount per Income code would be updated in the respective Income based transaction.</t>
  </si>
  <si>
    <t>Create and Activate Country Groups</t>
  </si>
  <si>
    <t>Configure Four Eye Validation Process for KC+</t>
  </si>
  <si>
    <t>This process describes activities involved in creation and activation of Country Groups. Countries are assigned to a group based on risk valuation example Tax haven countries, Terrorism risk countries and Non–cooperative countries etc. Country Groups are available as parameters for defining risk matrix/ score and can also be used as profile rule for creation of alerts in profile module.</t>
  </si>
  <si>
    <t>This process describes the activities involved in the configuration of Four Eye Validation process for KC+ module. Rule base and Action rules are set for Four eyes validation of addition, amendments, rejections etc.</t>
  </si>
  <si>
    <t>Evaluate Alert Using Interdict List Prioritization</t>
  </si>
  <si>
    <t>Block Transaction During Online Screening</t>
  </si>
  <si>
    <t>This process describes activities involved in blocking a transaction during online screening. A message is generated and send to Core Banking system to block the transaction.</t>
  </si>
  <si>
    <t>Create and Activate Suspicious Activity Prevention (SAP) Batch Rule</t>
  </si>
  <si>
    <t>Evaluate Suspicious Activity Prevention (SAP) Batch Alert</t>
  </si>
  <si>
    <t>This process describes the activities involved evaluation of Suspicious Activity Prevention (SAP) Batch Alerts. Alerts gets generated based on the rules defined in the SAP Batch Rule Manager. Fraud engine receives alerts by extracting information from the operational system and further actions are done in batch mode.</t>
  </si>
  <si>
    <t>Create Customer Monitoring Rule</t>
  </si>
  <si>
    <t>View Historical Alerts</t>
  </si>
  <si>
    <t>This process describes the activities involved in discarding customer alert and setting up customer monitoring. A bank can discard a customer alert but still monitor the customer for a period. This is achieved by attaching a temporary/ customised rule to the customer.</t>
  </si>
  <si>
    <t>This process describes the activities involved in viewing historical alerts. Post evaluation, alerts in Profile module gets placed in Batch History application. Alerts can be filtered and details can be viewed using the Batch History application.</t>
  </si>
  <si>
    <t>Define Risk Level for Joint Account Holder</t>
  </si>
  <si>
    <t>Perform Customer Screening Against Blacklist</t>
  </si>
  <si>
    <t>This process describes the activities involved in defining risk level information for joint accounts holders. Groups can be created for each risk level and customers assigned to a group based on risk level calculations.</t>
  </si>
  <si>
    <t>This process describes the activities involved in screening customer against watchlist, blacklist and greylist. An Alert is generated if duplicate are found and moved to Case Investigation queue for further validation. Post validations a response gets generated and sent to the originating system.</t>
  </si>
  <si>
    <t>Create and Activate Rule Base</t>
  </si>
  <si>
    <t>This process describes the activities involved in creation and activation of a Rule Base. A rule defines actions or interface elements for a role. Security tables combined with the rules defined in the Rule Manager determines user access mechanism for all FCM Suite application.</t>
  </si>
  <si>
    <t>Set Up Modelling Constraints (TAP) (Channel)</t>
  </si>
  <si>
    <t>This process describes the steps involved in managing various strategies via TAP.</t>
  </si>
  <si>
    <t>This process describes activities associated with creating a contract to provide new service for an existing customer.</t>
  </si>
  <si>
    <t>15.7 Migration Tool</t>
  </si>
  <si>
    <t>15.8 User Access Management</t>
  </si>
  <si>
    <t>13.3 Open Banking (PSD2)</t>
  </si>
  <si>
    <t>Execute Inward Credit Transfer (PP) *</t>
  </si>
  <si>
    <t>The process describes the activities of validating Direct Debit collection requests (pacs.003). Based on the request received, Inward collection will be processed. If the debtor is not within the same bank, the request is forwarded to the Indirect Participant (IP).</t>
  </si>
  <si>
    <t>Receive and Execute Outward Remittance (CHAPS)</t>
  </si>
  <si>
    <t>11.3.1.6 Import Data Processing and Monitoring System (IDPMS) (INMB)</t>
  </si>
  <si>
    <t>Report Outstanding Outward Remittance (IDPMS) (INMB)</t>
  </si>
  <si>
    <t>Perform Extension of Stale Outward Remittance (IDPMS) (INMB)</t>
  </si>
  <si>
    <t>Adjust and Close Bill of Entry (IDPMS) (INMB)</t>
  </si>
  <si>
    <t>Amend Advance Payment for Import Trade (IDPMS) (INMB)</t>
  </si>
  <si>
    <t>Cancel Advance Payment for Import Trade (IDPMS) (INMB)</t>
  </si>
  <si>
    <t>Create Bill of Entry (IDPMS) (INMB)</t>
  </si>
  <si>
    <t>Perform Extension of Bill of Entry (IDPMS) (INMB)</t>
  </si>
  <si>
    <t>Process Bill of Entry Settlement for Import Trade (IDPMS) (INMB)</t>
  </si>
  <si>
    <t>Process Advance Payment for Import Trade (IDPMS) (INMB)</t>
  </si>
  <si>
    <t>Process Payment for Import Trade (IDPMS) (INMB)</t>
  </si>
  <si>
    <t>This process describes the activities involved in the extension of a slate Outward Remittance. An Outward Remittance becomes stale when goods imported are not received physically within the period prescribed by the RBI. An extension of such stale Outward Remittance can be done only with the approval of RBI.</t>
  </si>
  <si>
    <t>This process describes the activities involved in amendment of an advance payment paid for import trade. Amendment is possible only for capital goods description and remarks that was captured initially during advance payment.</t>
  </si>
  <si>
    <t>This process describes the activities involved in cancellation of an advance payment done for import transaction. Cancellation can be performed only for transactions successfully transmitted to IDPMS.</t>
  </si>
  <si>
    <t>This process describes the activities involved in creating Bill of Entry based on information received from RBI or customer. The Bill of Entry is a document that declares the nature, precise quantity and value of goods that has been imported. The Bill of Entry (BOE) data (evidence for goods imported in a country) captured at customs or SEZ is transmitted through the secured file transfer protocol (SFTP) server to RBI.</t>
  </si>
  <si>
    <t>This process describes the activities involved in extension of Bill of Entry due to delay in payment by Customer. The Importer provides the reason for delay and on acceptance by the bank, Bill of Entry can be extended provided the maximum period of extension is yet to be reached.</t>
  </si>
  <si>
    <t>This process describes the activities involved in capturing advance payment and informing the same to IDPMS. All payments towards import trade are required to be transmitted to IDPMS using Outward Remittance Messaging (ORM) format. In the Import trade, all the payments including advance outward remittances made by banks for import of goods needs to be reported to RBI.</t>
  </si>
  <si>
    <t>This process describes the activities involved in processing payment that is received for an Import trade. When payments are made against import trade, the payment information is reported to RBI as an Outward Remittance. Outward Remittance Message (ORM) format is used for reporting all outward remittances against Import trade to RBI.</t>
  </si>
  <si>
    <t>Manage Portfolio Using Portfolio Builder (TAP) (Channel)</t>
  </si>
  <si>
    <t>This process describes the activities involved in managing a portfolio using portfolio builder. Portfolio can be rebalanced automatically (Apply profile) or manually (Add orders) using portfolio builder. Proposed changes can be published directly or can be saved as Draft, Checked worksheets or as Investment Proposal for future use.</t>
  </si>
  <si>
    <t>This process describes the activities involved in settlement of Bill of Entry. Underlying Invoices of a Bill of Entry is checked for unrealised amounts and tallied against pending Outward remittances. Post tallying, settlement of Bill of Entry is performed and details of settlement is transmitted to IDPMS. Settlement can also be cancelled either based on customer request or for an internal requirement due to erroneous settlement.</t>
  </si>
  <si>
    <t>Execute Redirect Credit Transfer (CHAPS)</t>
  </si>
  <si>
    <t>This process describes activities associated with adding an external bank account through Online Banking by a Retail customer for account aggregation.</t>
  </si>
  <si>
    <t>This process describes activities associated with opening of a new account through Online Banking by a Retail customer.</t>
  </si>
  <si>
    <t>This process describes the activities involved in receiving and executing Liquidity Transfer Advice (LTA) from Clearing. Necessary validations (e.g. LTA qualification) are performed before processing LTA as payment. Upon successful validations, necessary entries are raised. If validation fails, transaction can be rejected or manually repaired.</t>
  </si>
  <si>
    <t>This process describes the activities involved in configuring Corporate Action in three steps - Announcement of Corporate Action, - Validation of Corporate Action and - Processing Corporate Action transaction across funds</t>
  </si>
  <si>
    <t>This process describes the activities involved in receiving a payment from SWIFT (MT103/ MT202) and redirecting the payment to CHAPS (pacs.008/ pacs.009) or receiving a payment from CHAPS (pacs.008/ pacs.009) and redirecting the payment to  SWIFT (MT103/ MT202). Post validation, necessary entries are raised and the payment is redirected. Incorrect payments are manually cancelled or repaired by the operator.</t>
  </si>
  <si>
    <t>4.6.4 Post-Trade Events</t>
  </si>
  <si>
    <t>Execute Cancellation (Forex)</t>
  </si>
  <si>
    <t>Execute Delivery (Forex)</t>
  </si>
  <si>
    <t>Execute Rollover (Forex)</t>
  </si>
  <si>
    <t>This process describes the activities involved in cancelling an existing Deal either partially or fully and sending cancellation details to back office supervisor for review and authorisation. Post authorisation, an confirmation advice is sent to counterparty.</t>
  </si>
  <si>
    <t>This process describes the activities involved In capturing an early partial or full delivery (settlement) of a Forex option Deal. Settlement details such as the settlement amount buy or sell, settlement account, settlement currency is captured. Post authorisation, an confirmation advice is sent to counterparty.</t>
  </si>
  <si>
    <t>4.6.5 Settlement</t>
  </si>
  <si>
    <t>4.6.6 Rate Quotation</t>
  </si>
  <si>
    <t>11.3.1.7 Export Data Processing and Monitoring System (EDPMS) (INMB)</t>
  </si>
  <si>
    <t>Adjust and Close e-FIRC (EDPMS) (INMB)</t>
  </si>
  <si>
    <t>Adjust and Close Inward Remittance (EDPMS) (INMB)</t>
  </si>
  <si>
    <t>Execute Non-FIRC Inward Remittance (EDPMS) (INMB)</t>
  </si>
  <si>
    <t>Generate and Cancel e-FIRC (EDPMS) (INMB)</t>
  </si>
  <si>
    <t>Initiate Authorised Dealer Transfer Request (EDPMS) (INMB)</t>
  </si>
  <si>
    <t>Perform Export Dues Write-Off (EDPMS) (INMB)</t>
  </si>
  <si>
    <t>Perform Extension of Inward Remittance (EDPMS) (INMB)</t>
  </si>
  <si>
    <t>Report Non-Submission of Documents for Inward Remittance (EDPMS) (INMB)</t>
  </si>
  <si>
    <t>Report Unrealised Shipping Bill to DOE (EDPMS) (INMB)</t>
  </si>
  <si>
    <t>Update Caution List and IE Code Status (EDPMS) (INMB)</t>
  </si>
  <si>
    <t>This process describes the activities involved in FIRC adjustment and subsequent closure of FIRC. Un-utilized amount of FIRC can be adjusted and closed by the AD Banks.</t>
  </si>
  <si>
    <t>This process describes activities involved in Inward Remittance adjustment and closure. Inward Remittances with un-utilised related to shipping bill settlement can be adjusted or closed.</t>
  </si>
  <si>
    <t>This process describes activities involved in receipt of Inward Remittance for Export transactions. Received payments record is created for payment received and the same is transmitted to EDPMS.</t>
  </si>
  <si>
    <t>This process describes the activities involved in initiating AD code transfer request. Transfer request is initiated when AD code specified in shipping bill received, is different from the own Bank code.</t>
  </si>
  <si>
    <t>This process describes the activities involved in unrealized export bills write off. Write off can be bank initiated or based upon a request from the exporter. Write off can be initiated if the relevant amount has remained outstanding for a specified period as stipulated by RBI.</t>
  </si>
  <si>
    <t>This process describes the activities involved in extending utilisation period of remittance received for export. Remittance received can be extended if not utilized within the RBI stipulated timelines.</t>
  </si>
  <si>
    <t>This process describes activities involved in reporting Inward Remittance to Directorate of Enforcement (DOE). IRM gets marked and reported for non-submission of documents by the exporter and transmitted to EDPMS system.</t>
  </si>
  <si>
    <t>This process describes the steps involved in reporting unrealised bills to the Directorate of Enforcement (DOE). Shipping bills are reported when bills remain outstanding beyond the stipulated period prescribed by RBI. The process also describes the steps involved in cancellation of such reporting due to reasons such as wrong information provided or wrong reason provided.</t>
  </si>
  <si>
    <t>This process describes the activities involved in updating Caution List. Exporters and Importers who are errant and do not adhere to stipulated guidelines need to be added to Caution List by the bank. Caution List can be either manually created or uploaded based on Caution List received from RBI. Post creation Exporter/ Importer can be either added or removed from the Caution List by updating IEC status.</t>
  </si>
  <si>
    <t>Capture Receipt of Documents (EDPMS) (INMB)</t>
  </si>
  <si>
    <t>This process describes the activities involved in recording export documents that is submitted by the exporter. Details of Documents received are captured and transmitted to RBI through EDPMS system. The process also describes the activities involved in amending or cancelling previously transmitted Receipt of Documents details.</t>
  </si>
  <si>
    <t>Create Worksheet (TAP) (Channel)</t>
  </si>
  <si>
    <t>This process describes the activities involved in creating new worksheet. Worksheet can be released for trade processing or can be saved as draft.</t>
  </si>
  <si>
    <t>Manage Worksheet (TAP) (Channel)</t>
  </si>
  <si>
    <t>This process describes the activities involved in managing pending worksheets. Orders in pending Worksheets can be managed and released for trading.</t>
  </si>
  <si>
    <t>Process Return of Redirected Cover Payment (PP)</t>
  </si>
  <si>
    <t>The process describes the activities involved in processing return of settled redirected credit transfer through cover method. Post identification of original transaction, a return transaction is manually initiated and funds credited back to correspondent bank after deduction of charges. Redirected credit transfer through cover is returned to correspondent bank through pacs.004 message.</t>
  </si>
  <si>
    <t>This process describes activities associated with managing bulk payments through Online Banking by SME customer.</t>
  </si>
  <si>
    <t>2.2.6 Standby Letter of Credit (SBLC)</t>
  </si>
  <si>
    <t>This process describes activities involved in issuing Guarantee on receipt of application. Types of guarantee that can be issued are Bid Bond, Performance Bond or Generic Guarantee.</t>
  </si>
  <si>
    <t>Issue Standby LC</t>
  </si>
  <si>
    <t>Perform Integrity Check on Parent Child Transactions</t>
  </si>
  <si>
    <t>Perform Manual Adjustment of Tax Lots</t>
  </si>
  <si>
    <t>Perform Manual Reset of Dormant Account (Corporate) (USMB)</t>
  </si>
  <si>
    <t>Perform Manual Reset of Dormant Account (USMB)</t>
  </si>
  <si>
    <t>Disburse Retail Loan (Automatic)</t>
  </si>
  <si>
    <t>Disburse Retail Loan (Manual)</t>
  </si>
  <si>
    <t>Process Cancellation of LCY Draft</t>
  </si>
  <si>
    <t>Manage Escalation (Collection Supervisor)</t>
  </si>
  <si>
    <t>Perform Advance Repayment of Retail Loan</t>
  </si>
  <si>
    <t>Capture Tax Details in IRS Form (USMB)</t>
  </si>
  <si>
    <t>Transfer Travellers Cheque Stock from Vault To Till</t>
  </si>
  <si>
    <t>Manage Receipt of Travellers Cheque Stock</t>
  </si>
  <si>
    <t>Transfer Travellers Cheque Stock to Other Branches</t>
  </si>
  <si>
    <t>Perform End of Day Activities - Close Till</t>
  </si>
  <si>
    <t>Batch Receivables Registers</t>
  </si>
  <si>
    <t>Capture Participation in Pre-Syndication (SL)</t>
  </si>
  <si>
    <t>Record Pre-Syndication Mandate (SL)</t>
  </si>
  <si>
    <t>Process Settlement of Receivables</t>
  </si>
  <si>
    <t>Sub-allocate Limit</t>
  </si>
  <si>
    <t>Process Purchase of Export Collection Bills</t>
  </si>
  <si>
    <t>Settle Purchase of Export Collection Bills</t>
  </si>
  <si>
    <t>Perform Underwriting in Pre-Syndication (SL)</t>
  </si>
  <si>
    <t>Manage Internal Reconciliation Account</t>
  </si>
  <si>
    <t>Set Up Over-The-Counter (OTC) Regulatory Reporting</t>
  </si>
  <si>
    <t>Maintain Accounting Rules - Contract Based (Treasury)</t>
  </si>
  <si>
    <t>Maintain Accounting Rules - Contract Based (Securities)</t>
  </si>
  <si>
    <t>Perform Classification of Portfolio (TAP)</t>
  </si>
  <si>
    <t>Perform Asset Transfer (TAP) (Channel)</t>
  </si>
  <si>
    <t>Perform Cash Transfer (TAP) (Channel)</t>
  </si>
  <si>
    <t>Close Import Collection</t>
  </si>
  <si>
    <t>Process Return of Shipping Guarantee</t>
  </si>
  <si>
    <t>Capture Travel Notifications (Online Channels Retail)</t>
  </si>
  <si>
    <t>Capture Customer Travel Details</t>
  </si>
  <si>
    <t>Initiate Payment Order (Automatic)</t>
  </si>
  <si>
    <t>Initiate Payment Order (Manual)</t>
  </si>
  <si>
    <t>Reject Inward Direct Debit Collection Request (Manual) (XML)</t>
  </si>
  <si>
    <t>Process Response Received for Cancellation Request from Clearing (HK-FPS)</t>
  </si>
  <si>
    <t>Process Response Received for Cancellation Request from Clearing (Instant)</t>
  </si>
  <si>
    <t>Process Response Received for Cancellation Request from Clearing (Instant) (Nordic)</t>
  </si>
  <si>
    <t>Process Reversal of Outward Remittance (PP)</t>
  </si>
  <si>
    <t>Book Fee Payment (Manual)</t>
  </si>
  <si>
    <t>Capture Past Due Details (Manual)</t>
  </si>
  <si>
    <t>Execute Outward Direct Debit Collection Request (Manual) (XML)</t>
  </si>
  <si>
    <t>Execute Bank Transfer (Manual) (PP)</t>
  </si>
  <si>
    <t>Execute Bank Transfer (Manual) (TARGET2)</t>
  </si>
  <si>
    <t>Book Adjustment Entries</t>
  </si>
  <si>
    <t>Perform Disbursement Under Batched Receivables</t>
  </si>
  <si>
    <t>Submit Documents Under Export LC (Online Channels Corporate)</t>
  </si>
  <si>
    <t>2.2.6.1 Standby Letter of Credit Issued</t>
  </si>
  <si>
    <t>The process describes the activities involved in registering Standby LC documents.</t>
  </si>
  <si>
    <t>This process describes the activities involved in the issuance of Standby Letter of Credit (SBLC).</t>
  </si>
  <si>
    <t>Receive Claim Under Standby LC</t>
  </si>
  <si>
    <t>The process describes the activities involved in registering claim logged by the Beneficiary Bank of a Standby LC.</t>
  </si>
  <si>
    <t>2.2.6.2 Standby Letter of Credit Received</t>
  </si>
  <si>
    <t>Register Claim Under Standby LC (Received)</t>
  </si>
  <si>
    <t>Register Documents Presented Under Standby LC (Received)</t>
  </si>
  <si>
    <t>This process describes the activities involved in paying or rejecting, based on response from issuing bank, invocation claim of a Standby LC received. Payment can also be made through Payment Order when payment needs to be routed through Nostro Account.</t>
  </si>
  <si>
    <t>The process describes the activities involved in registering invocation claim for a Standby LC received.</t>
  </si>
  <si>
    <t>The process describes the activities involved in registering Standby LC documents received.</t>
  </si>
  <si>
    <t>2.2.6.3 Standby Letter of Credit Advised</t>
  </si>
  <si>
    <t>Forward Claim Under Standby LC (Advised)</t>
  </si>
  <si>
    <t>Forward Response Received for Claim Under Standby LC (Advised)</t>
  </si>
  <si>
    <t>The process describes the activities involved in forwarding an invocation claim for a previously advised Standby LC.</t>
  </si>
  <si>
    <t>Issue Counter Guarantee</t>
  </si>
  <si>
    <t>Register Claims Under Guarantee (Received)</t>
  </si>
  <si>
    <t>This Process describes the activities involved in handling Guarantee/ Standby LC amendment request.</t>
  </si>
  <si>
    <t>This Processes describes the activities involved in closure of Guarantee/ Standby LC on expiry/ prematurely.</t>
  </si>
  <si>
    <t>The process describes activities involved in sending a Non-Extension notification to the Beneficiary or an Advisory of the Guarantee/ Standby LC based on Customer request.</t>
  </si>
  <si>
    <t>The process describes activities involved in issuing a Counter Guarantee based on Customer request.</t>
  </si>
  <si>
    <t>The process describes the activities of recording the claim logged by the beneficiary/ Bank.</t>
  </si>
  <si>
    <t>The process describes the activities involved in responding to an amendment request of a Received Guarantee/ Standby LC.</t>
  </si>
  <si>
    <t>This Process describes the activities involved in advising Guarantee/ Standby LC received to beneficiary of the Guarantee/ Standby LC. On receipt of MT760/ MT761, system registers the message automatically. This message can be actioned further from the holding queue.</t>
  </si>
  <si>
    <t>This process describes the activities involved in paying or rejecting invocation claim of guarantee based on the response received from the issuing bank. Payment can also be made through Payment Order when payment needs be routed through Nostro Account.</t>
  </si>
  <si>
    <t>The process describes the activities involved in registering invocation claim of Guarantee received.</t>
  </si>
  <si>
    <t>This process depicts activities involved in transferring a received Guarantee/ Standby LC on receipt of instructions from first beneficiary.</t>
  </si>
  <si>
    <t>The process describes the activities involved in processing response received for Liquidity Transfer Request (LTR) initiated earlier. On receipt of response, the original transaction is identified. If a positive response is received, EBQA record is updated. A negative response will lead to reversal of accounting entries. If auto reversal is not enabled, the negative response is manually accepted (liquidity transfer is reversed) or negative response is ignored (rejected).</t>
  </si>
  <si>
    <t>Process Return of Inward Direct Debit Collection (Interac)</t>
  </si>
  <si>
    <t>The process describes the activities involved in processing return of Direct Debit collection. The original transaction is identified and funds credited back to customer account. If validation fails, transaction will be rejected.</t>
  </si>
  <si>
    <t>Process Response Received for Redirected Credit Transfer (TARGET2)</t>
  </si>
  <si>
    <t>The process describes the activities involved in processing response received for previously redirected credit transfer. On receipt of response, the original transaction is identified. If a positive response is received, status is updated. A negative response will lead to creation of return transaction. If auto return (STP processing) is not enabled, the negative response is manually accepted (returned) or negative response is ignored (rejected).</t>
  </si>
  <si>
    <t>Process Response Received for Outward Remittance (PP)</t>
  </si>
  <si>
    <t>This process describes the activities involved in viewing portfolios details by a Wealth Customer.</t>
  </si>
  <si>
    <t>This process describes the activities involved in handling non-payment escalations. Based on customer response, non-payment of loan or current account overdue are escalated and collections allocated to collection agents.</t>
  </si>
  <si>
    <t>Process Response to Claim Under Guarantee (Received)</t>
  </si>
  <si>
    <t>Process Response to Claim Under Standby LC (Received)</t>
  </si>
  <si>
    <t>Execute Redirect Credit Transfer (TARGET2)</t>
  </si>
  <si>
    <t>Repay Loan in Tranches (SL)</t>
  </si>
  <si>
    <t>This process describes the activities involved in receiving SEPA claim for non-receipt of funds from Originating Bank. The claim is forwarded to Indirect Participant if the beneficiary is not within the bank else the original transaction is identified and if the claim is within acceptance days, a response (camt.029.8) is sent out by accepting or rejecting the claim based on the status of the payment.</t>
  </si>
  <si>
    <t>This process describes the steps involved in receiving request for Payment Date Correction. The request is forwarded to Indirect Participant if the beneficiary is not within the bank else system validates the original payment and based on the status of the payment, a response (camt.029.8) is sent out by accepting or rejecting the request. When the request is accepted, the original payment is reversed and a new payment with the requested credit value is initiated</t>
  </si>
  <si>
    <t>This process describes matching of Payment Instructions with Cover Payments. The matching is automatically done when received before cut off time through SWIFT else manually matched. Exception Receipts record is created when Swift messages (MT202 COV, MT210, MT299, camt.057, pacs.009 cov and MT910) are received by the bank and is matched against the Payment messages like MT103, MT202, pacs.008 and pacs.009.</t>
  </si>
  <si>
    <t>Process Response Received for Redirected Credit Transfer (PP)</t>
  </si>
  <si>
    <t>1.6 Retail Facility</t>
  </si>
  <si>
    <t>0.3.3 Portfolio Closing</t>
  </si>
  <si>
    <t>3.1.4 Direct Credits</t>
  </si>
  <si>
    <t>3.3.1 SWIFT Transfers</t>
  </si>
  <si>
    <t>5.1.1.1 Investment Policy Definition</t>
  </si>
  <si>
    <t>5.2.2.1 Trading Initiation</t>
  </si>
  <si>
    <t>5.2.3.1 Trading Initiation</t>
  </si>
  <si>
    <t>5.4.6 Execution (FMC)</t>
  </si>
  <si>
    <t>5.5 Fiduciary Placements</t>
  </si>
  <si>
    <t>8.5 Year End And Post Closing Events Processing</t>
  </si>
  <si>
    <t>9.2 Define And Maintain Tax Related Parameters</t>
  </si>
  <si>
    <t>9.5 Image And Document Management Processes</t>
  </si>
  <si>
    <t>9.3 Define Interest And Charges</t>
  </si>
  <si>
    <t>11.3.1.4 Structured Financial Messaging System (INMB)</t>
  </si>
  <si>
    <t>11.3.1.5 Merchanting Trade (INMB)</t>
  </si>
  <si>
    <t>11.1 UK Specific Processes</t>
  </si>
  <si>
    <t>13.2 Customer Data Protection (CDP)</t>
  </si>
  <si>
    <t>Amend Import LC</t>
  </si>
  <si>
    <t>Cancel Import LC</t>
  </si>
  <si>
    <t>Perform Discounting of Import LC</t>
  </si>
  <si>
    <t>Issue Back To Back LC</t>
  </si>
  <si>
    <t>Issue Import LC</t>
  </si>
  <si>
    <t>Lodge Documents Under Settled LC (Sight)</t>
  </si>
  <si>
    <t>Pre-Advise Import LC</t>
  </si>
  <si>
    <t>Receive Import LC Application</t>
  </si>
  <si>
    <t>Register Documents Against Import LC (Mixed Payment)</t>
  </si>
  <si>
    <t>Register Documents Against Import LC (Sight)</t>
  </si>
  <si>
    <t>Register Documents Against Import LC (Usance)</t>
  </si>
  <si>
    <t>Settle Import LC</t>
  </si>
  <si>
    <t>Settle Import LC Without Documents (Sight)</t>
  </si>
  <si>
    <t>Advise Export LC</t>
  </si>
  <si>
    <t>Amend Export LC</t>
  </si>
  <si>
    <t>Cancel Export LC</t>
  </si>
  <si>
    <t>Liquidate Sight Payment Under LC (Sight)</t>
  </si>
  <si>
    <t>Receive Pre-Advise of Export LC</t>
  </si>
  <si>
    <t>Register Documents Against Export LC (Usance)</t>
  </si>
  <si>
    <t>Transfer Export LC</t>
  </si>
  <si>
    <t>Issue Shipping Guarantee Against LC</t>
  </si>
  <si>
    <t>The process describes activities to perform internal or external amendments of Import LC. Certain external amendments would require beneficiary's consent.</t>
  </si>
  <si>
    <t>The process describes the activities to be performed upon presentation of Export LC (Sight) documents.</t>
  </si>
  <si>
    <t>The process describes the activities to be performed upon presentation of Export LC (Usance) documents.</t>
  </si>
  <si>
    <t>The process describes the activities of Amending an Issued import LC by a Online Channels Corporate User.</t>
  </si>
  <si>
    <t>Process Withholding Tax for Derivative Contracts</t>
  </si>
  <si>
    <t>This process describes the activities involved in processing Withholding tax on dividend-equivalent payments (DEP) for derivative instruments based on IRS regulation 871(m). 871(m) is a tax event designed to withhold tax on Derivative contracts for dividends announced on the underlying US Security. Tax is applicable for Derivative positions irrespective of the underlying US security position. Once susceptible contracts were identified, system will determine liable holders based on IRS regulation criteria and collect tax. Holders of Derivative contracts are liable for tax, on dividends announced for the underlying security irrespective of whether they hold the position for the underlying security.</t>
  </si>
  <si>
    <t>This process describes activities involved in the management of watchlist by a Wealth customer.</t>
  </si>
  <si>
    <t>This process describes activities involved in transferring cash between accounts by a Wealth customer.</t>
  </si>
  <si>
    <t>Process Cancellation of Trade Confirmation (MX Message)</t>
  </si>
  <si>
    <t>Process Confirmation of Trade (MX Message)</t>
  </si>
  <si>
    <t>This process describes the activities involved in processing an incoming cancellation of trade confirmation (setr.029). The setr.029 message is sent by an executing party to an instructing party to cancel the referenced Securities Trade Confirmation message that was previously sent. The system updates the Trade Message Details with the incoming setr.029 details along with the link reference of setr.027 message. The back office user can review the details and take necessary action accordingly.</t>
  </si>
  <si>
    <t>Capture MiFID Details for Customer Profiling</t>
  </si>
  <si>
    <t>This process describes the activities involved in calculation of Investment Program score based on Customer response. Customers are profiled based on the parameter setup and assigned suitable Investment Program. The back office user can further modify the total points scored by the customer and assign Investment Program based on revised points. This Investment Program will be assigned whenever a new Portfolio is created for the customer.</t>
  </si>
  <si>
    <t>Set Up MiFID Parameters</t>
  </si>
  <si>
    <t>Validate and Process Outward Cheque Collection (SIBTEL)</t>
  </si>
  <si>
    <t>This process describes the activities involved in representing cheque (File 31) to clearing for partial funds available based on Non Payment Certificate received. If Reconstitution of Provisional Certificate (File 83) is received, cheque is represented for regularized amount (remaining amount in case cheque was represented earlier for partial funds else full cheque amount) by initiating claim (File 32) to clearing. A new settlement record is created, settlement entries raised and customer informed.</t>
  </si>
  <si>
    <t>Process Return of Redirected Transfer (PP)</t>
  </si>
  <si>
    <t>Process Return of Outward Remittance (PP)</t>
  </si>
  <si>
    <t>The process describes the activities involved in processing return of remittance from beneficiary for an outward remittance initiated by customer or bank. The original transaction is identified and funds are credited back. If validation fails, transaction can be manually amended or cancelled.</t>
  </si>
  <si>
    <t>Capture Purchase of FCY from Customer</t>
  </si>
  <si>
    <t>Capture Sale of FCY to Customer</t>
  </si>
  <si>
    <t>This process describes the activities involved in creating a standalone Loan for a customer. Based on customer request the Loan arrangement details and payment method is captured. The Payout Beneficiary for the arrangement is checked and funds are disbursed as per schedule. If Payout Beneficiary is unavailable, the funds are disbursed manually. Notices gets generated based on the Bank role. Additionally for construction Loan, evidence criteria are set to evaluate the progress of the construction activity and disbursement is restricted if the criteria are not met.</t>
  </si>
  <si>
    <t>The process describes the activities involved in forwarding the payment or rejection of an invocation claim of a Standby LC advised. Payment can also be forwarded through Payment Order when payment needs to be routed through Nostro Account.</t>
  </si>
  <si>
    <t>Perform Customer Asset Transfer - Delivery Against Payment</t>
  </si>
  <si>
    <t>Perform Disbursement Under Receivables</t>
  </si>
  <si>
    <t>This process describes the activities involved in processing response received (pacs.002) from SWIFT for a previously redirected payment. If negative response is received, Original transaction is identified and return transaction is created. Funds are credited back to correspondent nostro or clearing nostro and message (pacs.004) sent to clearing. Audit trail of original transaction is updated if positive response is received.</t>
  </si>
  <si>
    <t>Process Reversal of Unsuccessful Inward Credit Transfer (Interac)</t>
  </si>
  <si>
    <t>Parameter definition is the starting point for the setting up of the structured product. Parameters, viz. asset, sub-asset type and the other Transact applications that have to be linked are defined in this process.</t>
  </si>
  <si>
    <t>The process describes the activities of receiving and validating electronic transfer requests (e.g. pain.001). Based on the requests, the required type of transfer (e.g. Account to Account, Outward Remittance) will be determined. If a payment is incorrect it can be automatically cancelled or repaired or cancelled by an operator.</t>
  </si>
  <si>
    <t>This process describes the activities involved in receiving INTERGIRO2 payments requests either as electronic transfer instructions (e.g. pain.001) or as manual requests. Necessary validations (e.g. duplicate check) are performed before processing the remittance. The payment will be sent to the Clearing and the customer is debited. If a payment is incorrect, it can be manually repaired or cancelled.</t>
  </si>
  <si>
    <t>This process describes the activities involved in executing a return request from COELSA clearing for a settled Outward Direct Debit. Necessary validations (e.g. Identifying Original transaction) are done before processing the return request. Post validation, Creditor account will be debited and the amount posted to clearing account. If a payment is incorrect it can be repaired or cancelled by an operator.</t>
  </si>
  <si>
    <t>This process describes activities associated with the initial specification of password characteristics by the bank viz. minimum length, number of numeric, other characters etc.</t>
  </si>
  <si>
    <t>In this process, the standing order is set up based on the request of the customer. The request can be various types, viz. fixed amount transfer, maximum balance transfer, bulk standing order etc.</t>
  </si>
  <si>
    <t>The process begins with the receipt of outward domestic remittance request from the customer. Necessary validations (e.g. duplicate check) are done before processing the remittance. The payment sent to COELSA (Argentina Clearing) will be settled on the same day.</t>
  </si>
  <si>
    <t>This process describes the activities involved in receiving a COELSA Clearing Status Report. If a negative response is received, the related payment can be automatically returned. The status of the related message will be updated based on the response received.</t>
  </si>
  <si>
    <t>This process describes the activities involved in receiving Nordic Instant payments requests either as electronic transfer instructions (e.g. pain.001) or as requests from customers. Electronic transfer instructions are validated for syntax and manual requests simulated/ re-simulated for confirmation. Necessary validations (e.g. duplicate check) are performed before processing the remittance. Upon successful validation, Payment will be time stamped and sent to Clearing. If a payment is incorrect it will be automatically cancelled and a response sent back to originator.</t>
  </si>
  <si>
    <t>This process describes the activities of receiving and validating electronic collection requests (e.g. pain.008). The type of transfer (e.g. Account to Account, Outward collection) is determined based on the request. If a outward collection request is incorrect it can be cancelled automatically or manually repaired/ cancelled by an operator.</t>
  </si>
  <si>
    <t>The process describes the activities of validating Direct Debit collection requests received from COELSA (Flat File). Mandates, if sent along with the file is captured and status of mandates are updated. Based on the request received, Inward collection will be processed after performing all the validations(e.g. duplicate check, check mandate). Post validation, the funds are debited from the customer and credited to clearing account.</t>
  </si>
  <si>
    <t>This process describes the activities involved in receiving statement requests as incoming MT920. Corresponding statement response is generated either through STP (Straight Through Process) or COB (Closure of Business) as per the frequency set up in ACCOUNT.STATEMENT application. Based on the statement request, an outward statement response (MT940, 941, 942 &amp; 950) is generated.</t>
  </si>
  <si>
    <t>This process describes the activities involved in receiving COELSA immediate payment requests from customers. Necessary validations (e.g. duplicate check) are performed before processing the remittance. If a payment is incorrect it is automatically cancelled and a response sent back to originator.</t>
  </si>
  <si>
    <t>This process describes the activities involved in transferring data from source system to MF platform. Migration Tool is a scalable application that automates the migration of data in a changing system. Migration Tool has two components that runs independently. First component is the Migration of source data (from client) into MF platform. The source platform can be other than Multifonds platform also. The other component is Reconciliation of migrated data between MF and source data. All the configuration pertaining to accounting charts, central registers, security masters, currencies and other application parameters needs to set up before performing the migration activity.</t>
  </si>
  <si>
    <t>This process describes the activities involved in configuring inbound interfaces for loading or migrating securities to Multifonds system.</t>
  </si>
  <si>
    <t>Multifonds provides the option to use exchange rates specific to funds instead of using global exchange rates. This functionality can be achieved by setting up exchange rate groups and linking the same to funds.</t>
  </si>
  <si>
    <t>The notion of Central register in Multifonds corresponds to any kind of third party that is required to handle the day-to-day fund administration. Possible third parties are depository or custodian banks, brokers, fund managers, issuers, guarantors etc. Cash account along with suffix should be linked to the third party roles associated in cash deal transactions. Brokers need not be linked to an account. This process describes the steps involved to achieve the same.</t>
  </si>
  <si>
    <t>This process describes the activities involved in creating a Multifonds application user and assigning permissions to the user.</t>
  </si>
  <si>
    <t>Multifonds allows managing both direct and indirect exchange rate quotes (which can be different from global rates) within the same database irrespective of whether the reference currency used is as same as the application currency. Some funds use direct ex rate feeds while some use indirect rate feeds. Also, the exchange rate quotes received can indicate a reference to the application currency. Moreover, certain funds may require specific currency rounding rules which are different from the global set up.</t>
  </si>
  <si>
    <t>This process describes the activities involved in Debit/ Credit adjustments. Accounting movements can be performed by selecting the accounts directly. Debit/ Credit adjustment can be performed under the following cases: (a) Adjustment entries related to migrations, conversions or mergers. (b) Settlement of migrated transitory accounts. (c) Miscellaneous entries to bank accounts, e.g. debit/ credit interest postings (if not generated by Multifonds), ad hoc transaction fees, payment of invoices that have not been accrued for, etc. (c) Reallocation of profit and loss account balances e.g. postings from unrealized to realized results, end of period results allocation, etc.</t>
  </si>
  <si>
    <t>1.2.2 Travellers Cheques</t>
  </si>
  <si>
    <t>1.2.2.1 Travellers Cheque Purchase</t>
  </si>
  <si>
    <t>1.2.2.2 Travellers Cheque Sale</t>
  </si>
  <si>
    <t>Perform End of Day Activities - Nostro Funding For Travellers Cheques Issued</t>
  </si>
  <si>
    <t>1.2.3.3 Travellers Cheque Admin</t>
  </si>
  <si>
    <t>Process involves receipt of an authenticated request and transfer of Travellers Cheques stock to another branch.</t>
  </si>
  <si>
    <t>Process describes transferring stock of Travellers Cheques from vault to Till (Teller).</t>
  </si>
  <si>
    <t>This process describes the day end activities performed by a Teller in relation to cash and Travellers Cheque Balancing and closure.</t>
  </si>
  <si>
    <t>The process describes activities associated in executing on cancellation of recurring transfers (for ACH etc.) initiated through standing orders.</t>
  </si>
  <si>
    <t>The process begins with the receipt of an Safe Deposit Box arrangement closure request along with the deliverables (Keys etc.). The details are captured in the system and the closure activities are completed. The user has an option to pay the Safe Deposit Box arrangement closure proceeds in three modes, namely account transfer, teller and funds transfer.</t>
  </si>
  <si>
    <t>This process relates to handing over current account deliverables (cheque book, debit card etc.) to the customer. The signatories and mandate of the Customer(s) is/ are captured as part of this process.</t>
  </si>
  <si>
    <t>This Process depicts receipt of an arrangement (AR) account opening form from the customer along with an initial deposit. Successful opening of the AR account leads to associated sub processes viz., issue of debit card, cheque book issue, set up standing instruction/ sweep, set up overdraft limit etc.</t>
  </si>
  <si>
    <t>The process details out the tasks involved in the bundling various products like Off set mortgage, interest compensation, interest upgrade, bonus interest, pooling of accounts etc.</t>
  </si>
  <si>
    <t>A Security and Fund Master is created for all new funds that are launched by the FMC. Entry/ Exit Loads, face value of units etc. are set up.</t>
  </si>
  <si>
    <t>This process describes the steps involved in creating Suffix for Accounts. Separating realized or unrealized results by a separation criterion (example currency, tax code etc.) is achieved using suffix numbers. By using suffix for accounts, all P&amp;L accounts (including realised, unrealised), on a security with country code can be reported separately.</t>
  </si>
  <si>
    <t>This process describes the steps involved in creation of an task (Meeting for cross selling, Portfolio maintenance discussion, etc.) via TAP. All the task details are displayed in the Activity List page.</t>
  </si>
  <si>
    <t>Multifonds allows capturing of interest rates to be applied in computing forward rates for different valuation methods (forward exchange contracts valuation, Zero coupon valuation, IRS/ ICS valuation, etc.).</t>
  </si>
  <si>
    <t>The FMC deploys its funds in securities/ bonds etc. based on the strategy of portfolio allocation for the schemes.</t>
  </si>
  <si>
    <t>The process describes the activities associated in executing recurring transfers (for ACH etc.) initiated through standing orders.</t>
  </si>
  <si>
    <t>This process depicts the various ways in which the funds available in the form of securities, shares, positions, accounts, etc. are swept and credited to the customer.</t>
  </si>
  <si>
    <t>This Process depicts the initial process of Cash Pool i.e., creation of Currency Top Account. Currency Top Account represents the Company's outstanding balances per currency with the bank which is updated real-time with transactions from the Transaction Account in the same currency. Successful opening of the CT Account leads to associated sub processes viz., Creation of Master Account (MA), Currency Summary Account (CS)/ Summary Account(SA), Transaction (TR) Account to form the Cash Pool.</t>
  </si>
  <si>
    <t>The process describes the steps involved in Capturing Mutual Fund Order (Subscription or Redemption). Order is initiated by the customer and account balance is checked and blocked before booking is done. While capturing fund order details, Invest option type can be set either as cash or reinvestment for Dividend type Funds. Reinvestment type at order level is possible only if the Fund allows reinvestment (i.e. Reinvestment option is set at the Security Master level). Depository for the order gets defaulted from security master based on Invest option type. For Funds where Net Asset Value is yet to be received from the Fund House, a dummy security is created and attached as upfront security in the security master. This upfront security gets defaulted to the order and execution of the order is based on this dummy security. Upfront Security trades are created assuming the Net Asset Value as 1. On receipt of actual Net Asset Value from the Fund House, the security position from upfront security is transferred to the actual security.</t>
  </si>
  <si>
    <t>This process describes execution of a trade (Sec/ Own book). The trade details are captured in the system where automatic validation vis-à-vis validation of trade data for stock and cash availability, restrictions, etc., is carried out.</t>
  </si>
  <si>
    <t>This process describes the activities involved in the generation of Ageing Report. User can generate ageing SLA report on alerts with information related to time taken at each level, average time taken for each alert types, etc. on a daily basis in a CSV file format.</t>
  </si>
  <si>
    <t>This process is for setting up/ maintaining the parameters related to Customer status, target, industry, sector, relationship manager (DAO codes) and Customer relationship codes.</t>
  </si>
  <si>
    <t>Process for maintaining parameters for account based applications like FT, Teller, DD etc.</t>
  </si>
  <si>
    <t>This process is for receiving request for amendments to loans, inputting the amendment type (interest rate, terms, schedules, principal increase/ decrease, etc.) and generating advice to customer.</t>
  </si>
  <si>
    <t>Process involves receiving request for a loan amendment, reviewing the amendment request and executing the request. The amendments could be changes to Interest rates, interest rate types, limit maintenance, past dues adjustments, past dues write-offs, changes to repayment schedules etc.</t>
  </si>
  <si>
    <t>This process deals with amendments to Arrangement/ External user. The user rights, daily limits, UI Appearance, access to various products, password review frequency etc. can be amended.</t>
  </si>
  <si>
    <t>This process deals with activities associated with changing the value date of cheque clearing, on account of any unforeseen events (sudden declaration of holiday by clearing house etc.).</t>
  </si>
  <si>
    <t>This process describes creation of a "Contract" based fixed deposit (Fixed/ Floating/ Discounted etc.) through the "LD module" using PW.</t>
  </si>
  <si>
    <t>This process describes creation of a "Contract" based fixed deposit (Fixed/ Floating/ Discounted etc.) through the "LD module".</t>
  </si>
  <si>
    <t>This process describes creation and funding of a discounted (interest paid in advance) fixed deposit/ bond (Fixed/ Floating/ Short term/ Long term etc.) through "AA" module.</t>
  </si>
  <si>
    <t>The process describes activities for manual provisioning of past dues e.g. set asset class (e.g. : substandard, doubtful etc.), set the new provision percentage.</t>
  </si>
  <si>
    <t>This process describes the activities of receiving and executing payment instructions in standalone mode. The process describes the steps involved in sending validation requests to external system (validate account, balance check etc.) and executing the payment instruction based on the response received from the external system.</t>
  </si>
  <si>
    <t>This process describes the activities involved in receiving faster payment request from customers. Requests received is simulated and re-simulated for confirmation. Future dated payment is warehoused and released in slots. Necessary validations (e.g. duplicate check, etc.) are performed before processing the remittance. If a payment is incorrect or beneficiary bank is in inactive status, it can be automatically cancelled and a response is sent to the originator. Confirmation from Beneficiary bank through clearing is awaited for processed remittance. Remittance is handled based on the type of confirmation received from clearing. If confirmation is not received, an investigation message is sent for a preset number of tries.</t>
  </si>
  <si>
    <t>This process describes the activities of receiving and executing Outward CEFTS (Common Electronic Fund Transfer Switch) transfer. Necessary validations (e.g. duplicate check, etc.) are performed before processing the remittance. If the validation is successful, message is generated to clearing and customer is informed. If validation fails, transaction is automatically cancelled. Based on the response from clearing, status of the transaction is updated. A negative response will lead to reversal of entries and customer is informed about the rejection.</t>
  </si>
  <si>
    <t>This process describes the activities involved in receiving an inward CEFTS (Common Electronic Fund Transfer Switch) credit transfer. Upon successful validations, funds are credited to the beneficiary and customer is informed. If validation fails, transaction is automatically cancelled.</t>
  </si>
  <si>
    <t>This process describes the activities involved in processing CEFTS (Common Electronic Fund Transfer Switch) cancellation request (MT0420) from the remitting bank for a remittance sent by them. The cancellation is processed if the request is matched with the original transaction else the request is cancelled.</t>
  </si>
  <si>
    <t>The process describes the activities of receiving and validating CEFTS (Common Electronic Fund Transfer Switch) direct debit and Just Pay collection request from customer. Based on the response from clearing, either the payment is completed or payment cancelled and customer is informed accordingly. If a collection request is incorrect, it is automatically cancelled.</t>
  </si>
  <si>
    <t>The process describes the activities of validating collection request received from CEFTS (Common Electronic Fund Transfer Switch). Based on the request received, Inward collection will be processed after performing all the validations (e.g. duplicate check, check mandate). Post validation, the funds are debited from the customer and credited to clearing account. If a collection request is incorrect, it is automatically cancelled.</t>
  </si>
  <si>
    <t>The process describes the activities of validating CEFTS (Common Electronic Fund Transfer Switch) Direct Debit reversal requests from clearing. Based on the request received, Inward reversal request will be processed. Necessary validations (e.g. Identifying Original transaction) are done before processing the request. Post validation, clearing account is debited and the funds are credited back to the customer (Debtor) account.</t>
  </si>
  <si>
    <t>Process Reversal Request of Inward Direct Debit Collection (CEFTS)</t>
  </si>
  <si>
    <t>This process describes the activities involved in receiving Hongkong faster payment request from customers. Future dated payment is warehoused and released in slots. Necessary validations (e.g. duplicate check, etc.) are performed before processing the remittance. Incorrect payments are automatically cancelled and customer is informed.</t>
  </si>
  <si>
    <t>This process describes the activities of receiving and executing Outward MAV (Mediante Avviso) transfer. Necessary validations (e.g. duplicate check, etc.) are performed before processing the remittance. If the validation is successful, message is generated to clearing and customer is informed. If validation fails, transaction can be manually repaired or cancelled.</t>
  </si>
  <si>
    <t>This process describes the activities of receiving and executing Outward SARIE (Saudi Arabian Riyal Interbank Express) RTGS transfer. Necessary validations (e.g. duplicate check, etc.) are performed before processing the remittance. If the validation is successful, message is generated to clearing and customer is informed. If validation fails, transaction can be manually repaired or cancelled. Based on the response from clearing, status of the transaction is updated. A negative response will lead to reversal of entries and customer is informed about the rejection.</t>
  </si>
  <si>
    <t>This process describes the activities of receiving and executing Outward SIBTEL transfer. Necessary validations (e.g. duplicate check, etc.) are performed before processing the remittance. If the validation is successful, message is generated to clearing and customer is informed. If validation fails, transaction can be manually repaired or cancelled.</t>
  </si>
  <si>
    <t>This process describes the activities of receiving and executing Outward SLIPS (Sri Lankan Interbank Payment System) transfer. Necessary validations (e.g. duplicate check, etc.) are performed before processing the remittance. If the validation is successful, message is generated to clearing and customer is informed. If validation fails, transaction can be manually repaired or cancelled.</t>
  </si>
  <si>
    <t>Process for setting up corporate loan by capturing the relevant particulars (e.g. : Customer ID, currency, interest rate type, Drawdown account, liquidation account etc.).</t>
  </si>
  <si>
    <t>This process describes the steps involved in configuring Equalization Chart for reporting equalization amounts at a granular level using appropriate Heading Groups. Based on the Equalization Method configured, the equalization amounts for various fees, profit per share etc. are calculated on a granular level using the Equalization groups.</t>
  </si>
  <si>
    <t>The process is for setting up the image management parameters such as the image type (example: photo, signature etc.) and define the path where they should be stored in the system.</t>
  </si>
  <si>
    <t>Process describes activities for setting up product wise limits for the customer (e.g. : Limits for Term Loan, LC, BG, etc.).</t>
  </si>
  <si>
    <t>This process describes activities involved in managing Direct Debit by a Retail customer.</t>
  </si>
  <si>
    <t>This process describes activities associated with managing chatbot request of a Retail customer through the mobile banking application.</t>
  </si>
  <si>
    <t>This process describes the activities associated with managing creation of Business User and granting user access permission by a SME customer.</t>
  </si>
  <si>
    <t>11.4 Australia Specific Processes</t>
  </si>
  <si>
    <t>11.4.1 Retail Banking Processes (AUMB)</t>
  </si>
  <si>
    <t>11.4.2 Open Banking Processes (AUMB)</t>
  </si>
  <si>
    <t>Process Open Banking Product Enquiry Request (AUMB)</t>
  </si>
  <si>
    <t>Transfer Open Banking Product Data (AUMB)</t>
  </si>
  <si>
    <t>This process describes the activities involved in sharing list of products or details of a particular product that is being openly offered to the market by an Australian bank/ financial institution. The Get Product API and Get Product Details API are used for obtaining the product list/ product details respectively. The data being transferred is bank centric and not customer centric, hence anyone including a third party can request for this data from the bank/ financial institution as it is meant for public consumption as envisaged by Australia Consumer Data Standards.</t>
  </si>
  <si>
    <t>This process describes the activities involved in exposing banks product and services to Third Party Providers (TPP) through public APIs. Transact Products tagged under any one of the product categories, as advised by Australia Consumer Data Standards (CDS), can be shared to Third Party Providers. AA products tagged under an AU Product Category, forms the basis of sharing product information through the Open Banking Interface. Product data gets moved from Transact to Micro-services DB when product queries from external systems are serviced from Micro-services DB.</t>
  </si>
  <si>
    <t>Forward Clearing Status Report to Indirect Participant (SEPA)</t>
  </si>
  <si>
    <t>Forward Investigation Message (SEPA)</t>
  </si>
  <si>
    <t>This process describes the activities of receiving SEPA Clearing status report (pacs.002s2) for non-receipt of credit transfer claim (camt.027), payment date correction request (camt.087) or cancellation request (camt.056) sent earlier. The Clearing status report is automatically forwarded to Indirect Participant if redirection of Clearing status report is set.</t>
  </si>
  <si>
    <t>This process describes activities involved in managing user settings (Account preferences, Alerts, Consents) by a Retail customer.</t>
  </si>
  <si>
    <t>This process describes activities involved in viewing details of service requests (Cheque book request, Address change, Change of mobile number, etc.) raised by a Retail customer.</t>
  </si>
  <si>
    <t>The process describes capturing FRA trade information details and providing trade data to back office for further processing. Details of Legal Entity details with their status and Expiry date is captured in LE.DIRECTORY. The logic to identify transactions that are in scope of MIFID II is defined in LE.ELIGIBILITY.PARAM. System enables the LEI/NCI checks for those qualifying transactions with Override/Error check. Legal Entity ID/ National Client ID is captured while creating OC.CUSTOMER. While executing a Trade, the LEI check is initiated during transaction commit and override/error triggered where LEI or NCI for the parties to the transaction are not available or conditions not being met.</t>
  </si>
  <si>
    <t>This process describes execution of a Securities trade/ own book. The trade details are captured in Treasury Front office system and automatically validated for stock and cash availability, restrictions, etc.</t>
  </si>
  <si>
    <t>This process describes the activities involved in processing and forwarding an investigation message (status update request) received for previously sent non-receipt of credit transfer claim (camt.027), payment date correction request (camt.087) or cancellation request (camt.056). If the original claim/ request is in completed status then pacs.028 is forwarded to Indirect Participant/ Clearing (for previously forwarded camt.027 or camt.087) or camt.029 is sent to Indirect Participant/ Clearing (for previously forwarded camt.056)</t>
  </si>
  <si>
    <t>This process describes the activities involved in processing a return for a Inward direct debit that was settled earlier. Return request can only be raised for transactions processed within Acceptance days set. Return is handled internally if Creditor account is within the same bank. For other bank accounts, a flat file gets generated and sent to COELSA clearing. The return transaction is settled or rejected based on response from COELSA.</t>
  </si>
  <si>
    <t>This process describes activities associated with self-enrollment of a SME customer for creating a Digital Banking profile.</t>
  </si>
  <si>
    <t>Holding constraints provides the ability to set constraints based on portfolio holdings using TAP's scripting capability. This process describes the activities involved in capturing the holding constraints.</t>
  </si>
  <si>
    <t>This process describes the activities involved in paying or rejecting invocation claim of an issued Standby LC. Payment can also be made through Payment Order when payment needs to be routed through Nostro Account.</t>
  </si>
  <si>
    <t>This process describes the steps involved in processing Cash/ Physical settlement of Derivative Options automatically on the declaration date of the trade.</t>
  </si>
  <si>
    <t>This process describes the activities of matching a payment message (MT103) against a GPI cover (MT299) received from GPI tracker. Expected receipts record is created when GPI cover MT299 is received by the bank and it is matched against the payment message MT103 depending on the matching conditions. If the matching is unsuccessful, then a notification (MT295) is triggered manually to other bank.</t>
  </si>
  <si>
    <t>This process describes the steps involved in processing claim for non-receipt of credit transfer from an ordering customer or Indirect Participant. The claim (camt.027) is sent to the beneficiary bank via Clearing and if no response is received from Clearing, an investigation message (pacs.028) is sent. Response received is forwarded to Indirect Participant for claims initiated from IP else status is updated based on the response (camt.029.8) and fee payment initiated if beneficiary bank has requested for fee charge. Pacs.002s2 is response is received from clearing/IP &amp; forwarded to IP/Clearing when received for the investigation message already sent.</t>
  </si>
  <si>
    <t>This process describes the steps involved in processing payment date correction request for a payment initiated by a customer or by a Customer of an Indirect Participant. The request is initiated with modified payment date (camt.087) which is sent to the beneficiary bank via Clearing. An investigation message (pacs.028) is sent to clearing when no response is received. For Customer initiated requests, status is updated based on response received (camt.029.8) and fee payment initiated if beneficiary bank has requested for fee charge. Response is forwarded to IP for Indirect Participant initiated requests. Pacs.002s2 is response is received from clearing/IP &amp; forwarded to IP/Clearing when received for the investigation message already sent.</t>
  </si>
  <si>
    <t>This process describes activities associated with setting up of approval matrix by a SME customer.</t>
  </si>
  <si>
    <t>The process begins with the receipt of an account closure request along with the unused deliverables (cheque book, debit card, etc.). The details are captured in the system and the closure activities are completed. The user has an option to pay the account closure proceeds in three modes, namely account transfer, teller and funds transfer.</t>
  </si>
  <si>
    <t>This process describes the activities for Customer creation, using a PW Process. Process is initiated from the home page.</t>
  </si>
  <si>
    <t>Close Multi Currency Arrangement</t>
  </si>
  <si>
    <t>This process describes the steps involved in receiving an Multi Currency arrangement account closure request of Multi Currency main account and Sub-accounts along with the unused deliverables (cheque book, debit card, etc.). Once the details are captured in the system and the closure activities are completed, Multi Currency account along with Sub-accounts is closed and settled through PO (Payment Order).</t>
  </si>
  <si>
    <t>3.3.3.1 Sanction Screening</t>
  </si>
  <si>
    <t>3.3.3.2 Credit Transfers</t>
  </si>
  <si>
    <t>Initiate Liquidity Transfer Request (Manual)</t>
  </si>
  <si>
    <t>Process Response Received for Liquidity Transfer Request</t>
  </si>
  <si>
    <t>This process describes the activities involved in receiving EBA Instant payments requests either as electronic transfer instructions (e.g. pain.001) or as requests from customers. Electronic transfer instructions are validated for syntax and manual requests simulated/ re-simulated for confirmation. Necessary validations (e.g. duplicate check) are performed before processing the remittance. Upon successful validation, Payment will be time stamped and sent to Clearing/ Direct Participant. If a payment is incorrect it will be automatically cancelled and a response sent back to originator.</t>
  </si>
  <si>
    <t>Execute Inward Credit Transfer (Instant) *</t>
  </si>
  <si>
    <t>Initiate Cancellation Requests (Instant) *</t>
  </si>
  <si>
    <t>Execute Cancellation Request from Clearing (Instant) *</t>
  </si>
  <si>
    <t>Execute Cancellation Request from Indirect Participant (Instant) *</t>
  </si>
  <si>
    <t>Respond to Investigation (Instant) *</t>
  </si>
  <si>
    <t>Receive and Execute Outward Remittance (EQUENS Instant)</t>
  </si>
  <si>
    <t>This process describes the activities involved in receiving EQUENS Instant payments requests either as electronic transfer instructions (e.g. pain.001) or as requests from customers. Electronic transfer instructions are validated for syntax and manual requests simulated/ re-simulated for confirmation. Necessary validations (e.g. duplicate check) are performed before processing the remittance. Upon successful validation, Payment will be time stamped and sent to Clearing/ Direct Participant. If a payment is incorrect it will be automatically cancelled and a response sent back to originator.</t>
  </si>
  <si>
    <t>Receive and Execute Outward Remittance (TIPS)</t>
  </si>
  <si>
    <t>This process describes the activities involved in receiving TIPS Instant payments requests either as electronic transfer instructions (e.g. pain.001) or as requests from customers. Electronic transfer instructions are validated for syntax and manual requests simulated/ re-simulated for confirmation. Necessary validations (e.g. duplicate check) are performed before processing the remittance. Upon successful validation, Payment will be time stamped and sent to Clearing/ Direct Participant. If a payment is incorrect it will be automatically cancelled and a response sent back to originator.</t>
  </si>
  <si>
    <t>16.2.1 Standalone Processes</t>
  </si>
  <si>
    <t>This process describes activities associated with initiation of transfer between accounts by a Retail/ SME customer and depicts end to end process with transact connect.</t>
  </si>
  <si>
    <t>16.4.1 Standalone Processes</t>
  </si>
  <si>
    <t>16.4.2 End to End Processes</t>
  </si>
  <si>
    <t>Initiate Liquidity Transfer Request (Manual) *</t>
  </si>
  <si>
    <t>Process Response Received for Liquidity Transfer Request *</t>
  </si>
  <si>
    <t>11.5 Peru Specific Processes</t>
  </si>
  <si>
    <t>11.5.1 Retail Banking Processes (PEMB)</t>
  </si>
  <si>
    <t>11.5.2 Corporate Banking Processes (PEMB)</t>
  </si>
  <si>
    <t>11.5.3 Common Processes (PEMB)</t>
  </si>
  <si>
    <t>Amend Individual Customer (PEMB)</t>
  </si>
  <si>
    <t>This process describes the activities involved in amending information of an Individual customer.</t>
  </si>
  <si>
    <t>Create Individual Customer (PEMB)</t>
  </si>
  <si>
    <t>Amend Corporate Customer (PEMB)</t>
  </si>
  <si>
    <t>This process describes the activities involved in amendment of corporate customer details based on customer request.</t>
  </si>
  <si>
    <t>Create Corporate Customer (PEMB)</t>
  </si>
  <si>
    <t>Amend Arrangement Account (PEMB)</t>
  </si>
  <si>
    <t>This process describes the activities involved in amendment of an arrangement account and illustrates associated validations.</t>
  </si>
  <si>
    <t>This process describes the activities involved in amending details of a person/ entity.</t>
  </si>
  <si>
    <t>Create Arrangement Account (PEMB)</t>
  </si>
  <si>
    <t>This process describes the activities involved in creation of a Person/ Entity.</t>
  </si>
  <si>
    <t>Create Relationship and Relationship Group (PEMB)</t>
  </si>
  <si>
    <t>Create Digital Service Provider</t>
  </si>
  <si>
    <t>This process describes the activities involved in the creation and management of Digital service providers.</t>
  </si>
  <si>
    <t>Receive and Execute Outward Remittance (EBA Instant)</t>
  </si>
  <si>
    <t>Receive and Validate Messages (Instant) *</t>
  </si>
  <si>
    <t>Process Response Received for Cancellation Request from Clearing (Instant) *</t>
  </si>
  <si>
    <t>This process describes the activities involved in creating and approving an Individual customer. It also illustrates the data to be entered for a Peruvian individual such as ITF tax exemption flag and the validations for Legal documents, phone number, occupation and Black listed customers.</t>
  </si>
  <si>
    <t>This process describes the activities involved in the creation and authorisation of an arrangement account. It also illustrates the CCI alternate key code generation and the registration of ITF tax exemption flag for the account.</t>
  </si>
  <si>
    <t>This process describes the creation of Customer Relationship and automatic creation of corresponding Customer Relationship Group based on relationship details captured.</t>
  </si>
  <si>
    <t>This process describes the activities involved in capturing FX, MM, SW, FR, SC, RP deals in Treasury Front Office and providing the deal data either to Back Office Supervisor for authorisation or Chief Dealer for approval. In case pre-defined exceptions are encountered while capturing the deal, using Process Workflow, the deal is moved to the Chief Dealer's worklist for approving the deal. The Chief Dealer can either approve the exception and send the deal data to Back Office Supervisor for authorisation or send the deal back the dealer for modification. In case no exceptions is encountered while capturing the deal, deal data is provided to the Back Office Supervisor for authorisation. Deal capture is routed through Exception Process Workflow if Exception workflow is opted for in TY.PARAMETER.</t>
  </si>
  <si>
    <t>Process Return of Redirect Credit Transfer (CHAPS)</t>
  </si>
  <si>
    <t>The process describes the activities involved in processing return received for previously redirected credit transfer. Post identification of original transaction, a return transaction is initiated and funds are credited back to correspondent bank/ Clearing via SWIFT/ CHAPS. If validation fails, transaction is manually repaired or cancelled.</t>
  </si>
  <si>
    <t>Perform SMA Investment (TAP) (Channel)</t>
  </si>
  <si>
    <t>Perform SMA Partial Withdrawal (TAP) (Channel)</t>
  </si>
  <si>
    <t>Perform SMA Top-up (TAP) (Channel)</t>
  </si>
  <si>
    <t>This process describes the creation of Separately Managed Account (SMA) and the linkage between target portfolio (SMA) and Model strategy.</t>
  </si>
  <si>
    <t>The process describes partial withdrawal of Separately Managed Account (SMA) investment.</t>
  </si>
  <si>
    <t>This process describes increasing the amount invested into an existing strategy model.</t>
  </si>
  <si>
    <t>Create Deposit (PEMB)</t>
  </si>
  <si>
    <t>This process describes the activities involved in the creation and funding of a Deposit arrangement.</t>
  </si>
  <si>
    <t>This process describes the activities involved in setting up a loan and the subsequent disbursement either by an account transfer or through cash.</t>
  </si>
  <si>
    <t>Receive and Execute Liquidity Transfer Advice</t>
  </si>
  <si>
    <t>Receive and Execute Liquidity Transfer Advice *</t>
  </si>
  <si>
    <t>3.3.3.3 Direct Debits</t>
  </si>
  <si>
    <t>3.3.3.4 Instant Payments</t>
  </si>
  <si>
    <t>3.3.3.5 Liquidity Transfers</t>
  </si>
  <si>
    <t>Validate and Process Outward Cheque Collection (SYSTAC)</t>
  </si>
  <si>
    <t>11.5.4 Tax Processes (PEMB)</t>
  </si>
  <si>
    <t>This process describes the activities involved in receiving NEFT (National Electronic Funds Transfer) payment request either as electronic transfer instructions (pain.001) or as manual request. Necessary validations are performed before processing the remittance. The payment is sent to clearing and customer debited. Based on the response from clearing, either the payment is marked as complete or the payment is rejected and transaction reversed. If payment is incorrect, it can be manually repaired or cancelled.</t>
  </si>
  <si>
    <t>This process describes the closure of the investment done into the strategy model. Full redemption is performed by transfer of Cash/ Asset to another portfolio.</t>
  </si>
  <si>
    <t>Perform SMA Switch Investment (TAP) (Channel)</t>
  </si>
  <si>
    <t>This process describes the activities performed to switch investment from one SMA (Separately Managed Account) model to another SMA model.</t>
  </si>
  <si>
    <t>Create Credit Facility</t>
  </si>
  <si>
    <t>This process describes the activities involved in the creation of a Credit Facility for a customer based on his Security Holdings. Based on the Facility Product chosen, response to respective questionnaires are captured and related documents need to be submitted for further evaluations. The application is then evaluated with respect to the creditworthiness of the customer and sanctioned by updating the sanctioned amount. The limit will be created for the amount sanctioned and collateral will be created based on the assets pledged. Customer can avail or utilize this limit through a Margin Loan.</t>
  </si>
  <si>
    <t>Create and Activate Account Groups</t>
  </si>
  <si>
    <t>This process describes activities involved in the creation and activation of Account Groups. Account Groups are available as parameters for defining risk matrix/ score and can also be used as profile rules in the profile module.</t>
  </si>
  <si>
    <t>Calculate Financial Transaction Tax (ITF) (PEMB)</t>
  </si>
  <si>
    <t>This process describes the activities involved in the calculation of ITF tax for Credit and Debit activities, including validation of tax exemption rules.</t>
  </si>
  <si>
    <t>11.6 Argentina Specific Processes</t>
  </si>
  <si>
    <t>11.6.1 Retail Banking Processes (ARMB)</t>
  </si>
  <si>
    <t>11.6.2 Corporate Banking Processes (ARMB)</t>
  </si>
  <si>
    <t>11.6.3 Common Processes (ARMB)</t>
  </si>
  <si>
    <t>11.6.4 Tax Processes (ARMB)</t>
  </si>
  <si>
    <t>Create Immobilized Account (Saldos Inmovilizados) (ARMB)</t>
  </si>
  <si>
    <t>Create Individual Customer (ARMB)</t>
  </si>
  <si>
    <t>Create Corporate Customer (ARMB)</t>
  </si>
  <si>
    <t>Capture Customer Relationship (ARMB)</t>
  </si>
  <si>
    <t>Set Up Sweep (ARMB)</t>
  </si>
  <si>
    <t>Perform Automatic Tax Return (ARMB)</t>
  </si>
  <si>
    <t>This process describes the activities involved in the collection or refunding of the tax to a customer manually. Tax is collected or refunded by crediting or debiting the corresponding Tax Internal account.</t>
  </si>
  <si>
    <t>This process describes the activities associated with the refund of tax as per Argentina regulations to customers based on information received from the AFIP (Federal Tax Authority) Padron file and jurisdictional tax. This process is automated for Buenos Aires, Catamarca, Salta, Tucuman and multilateral agreements (SIRCREB), for other jurisdictions, the process is managed manually.</t>
  </si>
  <si>
    <t>This process describes the activities involved in the setting up an account sweep and also the automatic set up of reverse sweep based on the parameter set up.</t>
  </si>
  <si>
    <t>This process describes the activities involved in capturing details of a customer relative and updating the Customer relationship.</t>
  </si>
  <si>
    <t>This process describes the activities involved in the creation of a Corporate customer. It also illustrates the data to be entered for an Argentinian Corporate customer such as CUIT, CNAE code, the customer's tax profile and the corresponding validations done by the system.</t>
  </si>
  <si>
    <t>This process describes the activities involved to create and approve an Individual customer. It also illustrates the validations for Legal documents and tax exemptions.</t>
  </si>
  <si>
    <t>This process describes the activities involved in opening an Immobilized account (Saldos Inmovilizados) to transfer the remaining balance of an account during Account Closure. Account Closure can be initiated by the Client or by Bank´s Legal Department or be triggered in Dormancy processing.</t>
  </si>
  <si>
    <t>Receive Response from Clearing (CHAPS)</t>
  </si>
  <si>
    <t>The process describes the activities involved in processing response (pacs.002) received from Clearing for executing an outward remittance or for redirecting credit transfers. On receipt of response, the original transaction is identified. A positive response will update audit trail of the original transaction. A negative response will lead to reversal of accounting entries. If auto reversal is not enabled, the negative response is manually accepted (payment reversed) or is ignored.</t>
  </si>
  <si>
    <t>The process describes the activities involved in processing response (pacs.002) received for outward remittance processed. On receipt of response, the original transaction is identified. A positive response will update audit trail of the original transaction. A negative response will lead to reversal of accounting entries. If auto reversal is not enabled, the negative response is manually accepted (payment reversed) or is ignored.</t>
  </si>
  <si>
    <t>Reject Inward Direct Debit Collection Request (Manual) (XML) *</t>
  </si>
  <si>
    <t>Execute Outward Direct Debit Collection Request (Manual) (XML) *</t>
  </si>
  <si>
    <t>Initiate Payment Order (Automatic) *</t>
  </si>
  <si>
    <t>Accept Import Collection *</t>
  </si>
  <si>
    <t>Amend Import Collection *</t>
  </si>
  <si>
    <t>Cancel Import LC *</t>
  </si>
  <si>
    <t>Close Import Collection *</t>
  </si>
  <si>
    <t>Issue Import LC *</t>
  </si>
  <si>
    <t>Lodge Documents Against Advance Payment Trade (Import) *</t>
  </si>
  <si>
    <t>Receive Import LC Application *</t>
  </si>
  <si>
    <t>Settle Import Collection *</t>
  </si>
  <si>
    <t>Advise Export LC *</t>
  </si>
  <si>
    <t>Liquidate Sight Payment Under LC (Sight) *</t>
  </si>
  <si>
    <t>Perform Reversal of Profit Distribution</t>
  </si>
  <si>
    <t>This process describes the steps involved in performing reversal of the last Profit Distributed by reversing the profit amount paid to customer accounts.</t>
  </si>
  <si>
    <t>Set Up Beneficiary (ARMB)</t>
  </si>
  <si>
    <t>Create Arrangement Account (ARMB)</t>
  </si>
  <si>
    <t>Amend Arrangement Account (ARMB)</t>
  </si>
  <si>
    <t>Create UVA Deposit (ARMB)</t>
  </si>
  <si>
    <t>This process describes the activities involved in creating and funding UVA (Early redemption deposit with Purchasing Value Unit) Deposits. It also describes the conditions that must be met at the time of arrangement opening such as conversion of the original amount to ARS currency, settlement and TP (penalty) rate that will apply if the deposit is redeemed early.</t>
  </si>
  <si>
    <t>This flow describes the activities involved in the mandatory updation of COELSA when an account is created or amended. The account gets activated or updated based on COELSA response.</t>
  </si>
  <si>
    <t>This process describes the activities involved in the creation and authorizing of a Beneficiary. The CBU / Alias code of the beneficiary is validated with COELSA.</t>
  </si>
  <si>
    <t>Validate Collateral Address (AUMB)</t>
  </si>
  <si>
    <t>Create and Update Customer Relationship</t>
  </si>
  <si>
    <t>Create Current Account Arrangement (Corporate)</t>
  </si>
  <si>
    <t>Execute Inward Credit Transfer (RTGS)</t>
  </si>
  <si>
    <t>Process Return of Outward Remittance (NEFT)</t>
  </si>
  <si>
    <t>Execute Inward Credit Transfer (NEFT)</t>
  </si>
  <si>
    <t>Initiate and Execute Outward UK Request To Pay</t>
  </si>
  <si>
    <t>Receive and Execute Inward UK Request To Pay</t>
  </si>
  <si>
    <t>Receive Response for Outward UK Request To Pay</t>
  </si>
  <si>
    <t>This process describes the steps involved in processing response received for an previously initiated Request To Pay order. Accounting entries are generated if a positive response is received and for a negative response, the status is updated, and customer is informed. For due date extension request, the response from the Payee is obtained and communicated to Payer through API.</t>
  </si>
  <si>
    <t>This process describes the steps involved in receiving &amp; processing an Inward Request To Pay (RTP). The Request To Pay is validated and send to the payer. Based on the scheme, the payer chooses the response and the same is communicated to Payee through API.</t>
  </si>
  <si>
    <t>This process describes the steps involved in receiving and initiating an outward UK Request To Pay (RTP). After successful validations, RTP Request is sent to Payer and Payer's response is awaited. If validations fails, Request To Pay is rejected and customer is informed.</t>
  </si>
  <si>
    <t>This process describes the activities involved in receiving NEFT (National Electronic Funds Transfer) payments from clearing. Necessary validations are performed before processing the incoming payments. Post validations, the customer is credited and message N10 is sent. Based on the response from clearing, either the payment is marked as complete or message N10 is regenerated. If payment is incorrect, it can be automatically returned or manually repaired or returned.</t>
  </si>
  <si>
    <t>This process describes the activities involved in receiving NEFT (National Electronic Funds Transfer) Inward return payments from clearing. . The original transaction is identified and the funds will be credited back to customer account. If validation fails, transaction can be manually repaired or cancelled</t>
  </si>
  <si>
    <t>This process describes the activities involved in receiving RTGS (Real Time Gross Settlement) payments requests either as electronic transfer instructions (pain.001) or as manual requests. Necessary validations are performed before processing the remittance. Post validations, the customer is credited and message (camt.059) is sent to Clearing . If payment is incorrect, it can be automatically returned or manually repaired or returned.</t>
  </si>
  <si>
    <t>This process describes the activities involved in updating or deleting Alias code based on the customer request. COELSA is intimated about alias updation/ deletion and based COELSA response account details are updated.</t>
  </si>
  <si>
    <t>Create Alias Code (ARMB)</t>
  </si>
  <si>
    <t>This process describes the activities involved in the creation of an Alias code for accounts and registration with COELSA.</t>
  </si>
  <si>
    <t>Create Regular Deposit (ARMB)</t>
  </si>
  <si>
    <t>Send CBU Code (Single Banking Code) to COELSA (ARMB)</t>
  </si>
  <si>
    <t>This process describes the activities involved in receiving an Inward SIBTEL cheque clearing file. Post successfully validation, the customer account is debited and settlement entries are generated. In case of validation failure, either technical reject (File 84) or reject (File 82) is sent and once corresponding (File 33) is received for technical reject (File 84), the customer account is debited. In case of insufficient funds in the customer account, then advance notification of insufficient funds (File 81) is sent. Post maximum retry for sufficient funds, payment reject (File 82) will be sent. When Claim (File 31) is received the Customer is debited for partial funds that were blocked and settlement entries are generated. Provision Reconstitution Certificate (File 83) is sent if Customer funds account and expresses willingness to clear the pending cheque amount. Once File 32 is received for a File 83 sent, the customer is debited for the remaining cheque amount.</t>
  </si>
  <si>
    <t>This process describes the activities involved in the creation and authorisation of an arrangement account. It also illustrates the CBU code generation and the information that will be sent to COELSA in order to activate the arrangement account.</t>
  </si>
  <si>
    <t>The process describes the steps associated with creation of corporate current account arrangement (AR). After successful authorization, the account opening is done which leads to other processes viz., verify external cheque, account to account transfer etc.</t>
  </si>
  <si>
    <t>This process describes the activities involved in receiving a COELSA (Argentina Clearing) domestic transfer. If currency restriction is applicable for the payment, based on the end date calculation and ordering customer details available, the beneficiary account is credited or transaction is rejected. For non-restricted payments, funds are credited to the beneficiary account. If the payments are processed successfully, the settlement is done on the same day and confirmation is sent to customer. If payment is incorrect, it can be manually repaired or returned.</t>
  </si>
  <si>
    <t>This process describes the activities involved in execution of inward COELSA (Argentina Clearing) Immediate transfer. If currency restriction is applicable for the payment, based on the end date calculation and ordering customer details available, the beneficiary account is credited or transaction is rejected. For non-restricted payments, funds are credited to the beneficiary account. If payment is incorrect, funds will be returned.</t>
  </si>
  <si>
    <t>This process describes the activities involved in defining company level MiFID parameter setup. Additional Questions for customer profiling can be captured in the parameter and points assigned to responses.  Based on the responses provided, the most suitable Investment Program is determined for the Customer. Depreciation reporting can also be set in the parameter. For a portfolio, with Depreciation reporting activated (SEC.ACC.MASTER), details of valuation drop are updated in the table SC.PF.DROP.INSTANCES. Portfolio depreciation is reported when the drop percentage is greater than or equal to the percentage set in SC.MIFID.PARAM.</t>
  </si>
  <si>
    <t>This process describes the activities involved in receiving RTGS (Real Time Gross Settlement) payments requests either as electronic transfer instructions (pain.001) or as manual requests. Necessary validations are performed before processing the remittance. The payment is sent to the clearing and the customer/ bank is debited. Based on the response from clearing, either the payment is completed or the payment is rejected and transaction is reversed. If payment is incorrect, it can be manually repaired or cancelled.</t>
  </si>
  <si>
    <t>This process describes the activities involved in the validation of collateral address. Once an address is entered, the system triggers an address validation request to get the complete address information. Collateral address information gets updated if the user selects one of the addresses returned via the interface or the user can ignore the addresses returned and choose to enter the address manually.</t>
  </si>
  <si>
    <t>5.6.6 Structured Products</t>
  </si>
  <si>
    <t>5.6.7 Customer Relationship Management</t>
  </si>
  <si>
    <t>2.3.8.4 Corporate Guarantees</t>
  </si>
  <si>
    <t>Amend Guarantee Issued (AA) (Corporate)</t>
  </si>
  <si>
    <t>Issue Guarantee Under Facility (AA) (Corporate)</t>
  </si>
  <si>
    <t>Issue Standalone Guarantee (AA) (Corporate)</t>
  </si>
  <si>
    <t>This process describes the activities involved in amending an existing guarantee arrangement as requested by a customer.</t>
  </si>
  <si>
    <t>This process describes the activities involved in performing drawdown of a facility by creating a guarantee arrangement under the facility as per allowed facility limits. Based on customer request a guaranteed product can be selected and relevant details captured. A drawdown cannot be performed for a blocked facility or in case of insufficient commitment balance.</t>
  </si>
  <si>
    <t>This process describes the activities involved in the creation of a Guarantee. Based on customer request a guaranteed product can be selected and relevant details captured.</t>
  </si>
  <si>
    <t>Trades can be aggregated for Brokers who have been set for Aggregation. System supports Aggregation of Trades to receive an aggregated MT515 message and to send aggregated Settlement message (MT54X or sese.023) to the Depository. The aggregated MT515 will be reconciled with the underlying aggregated trades and if it is matched, system would authorise the Trades and send out an aggregated settlement message. It also possible to aggregate the Nostro posting and send a consolidated MT518. If this is required for a Broker, then the field NOSTRO.AGGREGATION in CUSTOMER.SECURITY has to be set. If aggregation is required by Stock Exchange, then the field STK.EXC.AGGREGATE in CUSTOMER.SECURITY record of the Broker should be set. If STK.EXC.AGGREGATE is set, then trades will get aggregated only if both Broker and Stock exchange conditions are met. Field AGGREGATION should be set for those Stock exchanges for which aggregation is required. The Cut Off time for aggregation is to be set in the STOCK.EXCHANGE record in this case. At the Cut-off time, a service would authorise the aggregated trade and trigger a consolidated MT518 from that trade. Consolidated Nostro entry would also be posted. If the Underlying Broker trades are not authorised at this stage, system would automatically authorise them. (If aggregation is based on Broker and Stock Exchange, then the cut-off time will be taken from the Stock Exchange. If aggregation is set only at Broker level, cut off time will be the time set in field MT515.CUT.OFF.TIME in CUSTOMER.SECURITY)</t>
  </si>
  <si>
    <t>This Process describes the activities involved when a client elects the options through an MT565 or seev.033 (MX message) for a Voluntary/ Mandatory corporate action with Choice Event. Quantity of eligible holdings gets recorded as instructed by the client and instruction forwarded to depository. Processing status of the incoming MT565 is generated and sent via an MT567 to the institutional clients.</t>
  </si>
  <si>
    <t>11.4.3 Common Processes (AUMB)</t>
  </si>
  <si>
    <t>Amend Pay ID (AUMB)</t>
  </si>
  <si>
    <t>Create Pay ID (AUMB)</t>
  </si>
  <si>
    <t>This process describes the activities involved in the maintenance of the Pay ID. The Customer can request for a registered Pay ID to be deregister/ disabled/ ported. A disabled Pay ID can also be enabled later.</t>
  </si>
  <si>
    <t>Process Embargo (Seizure) Batch Request (ARMB)</t>
  </si>
  <si>
    <t>Process Online Embargo (Seizure) Request (ARMB)</t>
  </si>
  <si>
    <t>This process describes the activities involved in processing different embargo request from COELSA through batch processing.</t>
  </si>
  <si>
    <t>Represent Cheque Against Non Payment Certificate (SIBTEL)</t>
  </si>
  <si>
    <t>This process describes the activities involved in the creation of a Pay ID (e.g. Email ID or mobile number) that can be used in lieu of the account number during payment transactions.</t>
  </si>
  <si>
    <t>This process describes the activities involved in receiving cheque for collection from customer. Post successful validation, file (File 30) is sent to clearing, Settlement entries are generated, if no advance notification of insufficient funds is received before reject cut off on settlement date. If advance notification of insufficient funds (File 81) is received, new settlement record is created and details received (Blocked amount, Advance notice date) are updated in Cheque Collection. On new settlement day, settlement entries are generated if Non-Payment Certificate is not received. If Non-Payment Certificate (File 82) is received then settlement record is cancelled and accounting entries are reversed. If Technical Reject notification (File 84) is received, cheque will be retuned and details updated in Cheque Collection. Cheques retuned for technical reasons can be represented (File 33).</t>
  </si>
  <si>
    <t>11.6.5 Transactional Processes (ARMB)</t>
  </si>
  <si>
    <t>Review FX Operations (ARMB)</t>
  </si>
  <si>
    <t>This process describes the activities associated with checking FX transactions executed by the customer and registered in Central Bank of Argentina (BCRA). BCRA provides an API to search this type of transaction.</t>
  </si>
  <si>
    <t>Update Customer and Account Tax Profile (ARMB)</t>
  </si>
  <si>
    <t>Perform Reclassification and Provisioning of Assets (ARMB)</t>
  </si>
  <si>
    <t>Perform Redemption of UVA Deposits (ARMB)</t>
  </si>
  <si>
    <t>Perform Repayment of Deposit (AA) *</t>
  </si>
  <si>
    <t>Perform Pre-Closure of Loan (ARMB)</t>
  </si>
  <si>
    <t>This process describes the activities involved in provisioning of assets based on its classification/ reclassification.</t>
  </si>
  <si>
    <t>This process describes the activities involved in redemption of UVA deposits. Request can be raised by the customer for early redemption of the deposit. The process also depicts the validations done for the early redemption option and penalty being applied. Liquidity on maturity leads to adjustments in interest rates.</t>
  </si>
  <si>
    <t>This process describes the steps involved in pre-closing a loan and determine whether pre-closure fees will be charged depending on the closure and pre-closure fee conditions.</t>
  </si>
  <si>
    <t>This procedure describes the End to End activities involved in onboarding a retail lending application request from a new or existing retail customer. The application is verified and approved/ declined manually based on customer eligibility.</t>
  </si>
  <si>
    <t>Evaluate Real Time Alerts</t>
  </si>
  <si>
    <t>This process describes activities involved in the evaluation of Real-time alerts based on the profile real-time rules set.</t>
  </si>
  <si>
    <t>Apply Payment Holiday (TBS)</t>
  </si>
  <si>
    <t>Create Loan (TBS)</t>
  </si>
  <si>
    <t>Disburse Loan (Manual) (TBS)</t>
  </si>
  <si>
    <t>Process Loan Repayment (Manual) (TBS)</t>
  </si>
  <si>
    <t>This process describes the activities involved in setting up a Consumer or LOC loan and processing loan disbursement through account transfer or payment order either automatically on disbursement date or manually.</t>
  </si>
  <si>
    <t>The process describes activities involved in manual disbursement of loan.</t>
  </si>
  <si>
    <t>This process depicts activities related to manual repayment of a retail loan by account transfer. Option to repay through payment order is possible for scheduled repayments.</t>
  </si>
  <si>
    <t>Execute Inward Credit Transfer (NPP)</t>
  </si>
  <si>
    <t>Process Return of Outward Remittance (NPP)</t>
  </si>
  <si>
    <t>Receive Response from Direct participant (NPP)</t>
  </si>
  <si>
    <t>This process describes the activities involved in returning inward remittance based on customer request or recall request (camt.056) received from Direct participant. Return is created and message (pacs.004) is sent to Direct Participant.</t>
  </si>
  <si>
    <t>The process describes the activities involved in processing response (pacs.002) received from Direct Participant for execution of an outward remittance or reversal/ cancellation of an inward remittance. On receipt of response, the original transaction is identified. For a positive response, the audit trail of the original transaction is updated and necessary entries are posted. If a negative response is received, funds are unblocked and status updated. If the response received is pending or no response is received from Direct Participant, an investigation message (pacs.028) is sent until the maximum retry is allowed. If maximum retry is exceeded, transaction will be manually rejected or accepted.</t>
  </si>
  <si>
    <t>Process Return of Outward Remittance (RTGS)</t>
  </si>
  <si>
    <t>The process describes the activities involved in processing return of remittance (pacs.004) from beneficiary for an outward remittance initiated by customer or bank. If original transaction is identified and validation is successful, funds are credited back. If validation fails or original transaction is not identified, transaction can be manually amended or cancelled.</t>
  </si>
  <si>
    <t>Manage Meeting Notification and Cancellation</t>
  </si>
  <si>
    <t>This process describes the steps involved in processing Meeting Notification or Meeting Cancellation. The issuer or its agent (notifying party) sends a meeting notification to announce a shareholders' meeting. The system records the details of incoming meeting notification or cancellation received via MX message in corporate action log file. If STP qualifying checks are fulfilled then MEETING.DIARY gets created in LIVE status else is created in unauthorised status for the back office user to verify further. MEETING.ENTITLEMENT is created for the shareholders based on portfolio holding, only if valid resolution details are available in MEETING.DIARY. When cancellation message is received, system updates the corporate action log file and the back office user can reverse or delete the MEETING.DIARY manually.</t>
  </si>
  <si>
    <t>This process describes the activities involved in the updation of Customer and Account Tax profiles according to the information provided by the Federal Administration of Public Income.</t>
  </si>
  <si>
    <t>This process depicts activities related to applying payment holiday to retail loans</t>
  </si>
  <si>
    <t xml:space="preserve">Temenos Banking Solution (TBS) Processes </t>
  </si>
  <si>
    <t>Temenos Banking Solution (TBS) Processes</t>
  </si>
  <si>
    <t>Create Collateral Pool (Corporate)</t>
  </si>
  <si>
    <t>This Process describes the activities involved in the creation of Collateral and grouping collaterals of a customer logically in order to create Collateral Accounts. Further, Collateral Accounts of various customers are pooled together to create a Collateral Pool which covers exposure.</t>
  </si>
  <si>
    <t>Perform Share Transfer for Standalone Guarantee (AA) (Corporate)</t>
  </si>
  <si>
    <t>Perform Early Termination of Issued Guarantee (AA) (Corporate)</t>
  </si>
  <si>
    <t>This process describes the activities involved in performing Share Transfer of a Guarantee. The activity is either initiated by own bank or based on an intimation received from another participant. Share Transfer can be performed between two existing participants, between an existing participant and a new participant or as a Buy-back activity (Own bank buys back share of all other participants involved in the Guarantee).</t>
  </si>
  <si>
    <t>Check Central Bank of the Argentina Republic (BCRA) API Service Connection Availability (ARMB)</t>
  </si>
  <si>
    <t>This process describes the functionality that allows the bank to access BCRA service and display the status of APIs using the health check enquiry. The response from BCRA would indicate whether the services are working or not.</t>
  </si>
  <si>
    <t>Check FX Restrictions on Debit Card Transactions (ARMB)</t>
  </si>
  <si>
    <t>This process describe the activities involved in checking restrictions on FX transactions while processing transactions initiated through an ATM Withdrawal or POS payment.</t>
  </si>
  <si>
    <t>Initiate FX Payment Transaction (ARMB)</t>
  </si>
  <si>
    <t>This process describes the activities involved in the creation of FX Payment order transaction post successful validations and verification of FX Limit availability through BCRA interface.</t>
  </si>
  <si>
    <t>This process describes the activities involved in the cancellation/ reversal of FX payment order transaction based on the response received from BCRA.</t>
  </si>
  <si>
    <t>Manage Payment Order Exceptions *</t>
  </si>
  <si>
    <t>11.7 Colombia Specific Processes</t>
  </si>
  <si>
    <t>11.7.1 Tax Processes (COMB)</t>
  </si>
  <si>
    <t>Calculate Financial Transaction Tax (GMF) (COMB)</t>
  </si>
  <si>
    <t>This process describes the activities involved in GMF tax deduction for account debit and deposit payout transactions</t>
  </si>
  <si>
    <t>Receive File from Clearing (RPSSCL)</t>
  </si>
  <si>
    <t>Execute Non-Receipt Claim from Originating Bank (SEPA) *</t>
  </si>
  <si>
    <t>Execute Request for Payment Date Correction from Originating Bank (SEPA) *</t>
  </si>
  <si>
    <t>Receive and Process Claim for Non-Receipt of Credit Transfer (SEPA) *</t>
  </si>
  <si>
    <t>Receive and Process Request for Payment Date Correction (SEPA) *</t>
  </si>
  <si>
    <t>This process describes the activities involved in receiving and processing RPSSCL (Retail Payment System SEPA Clearer) payment request. Necessary validations (e.g. duplicate check) are performed before processing the remittance. If validation fails, transaction can be manually repaired or cancelled.</t>
  </si>
  <si>
    <t>Receive and Process Inward Cheque Clearing (HKICL)</t>
  </si>
  <si>
    <t>Validate and Process Outward Cheque Collection (HKICL)</t>
  </si>
  <si>
    <t>This process describes the activities involved in receiving an Inward Hong Kong Interbank Clearing Limited (HKICL) individual/ corporate cheque, auto cheque or cashier's cheque from Hongkong clearing. If validation fails, it can be manually repaired or rejected. Upon successful validations, funds are debited from the customer. Settlement entries are posted if the technical validation is successful, else the transaction is returned.</t>
  </si>
  <si>
    <t>This process describes the activities involved in receiving Hong Kong Interbank Clearing Limited (HKICL) E-cheque. Post authorization, accounting entries are raised and Presentment file is sent to Clearing. Based on the response from Clearing, necessary settlement entries are raised and customer is informed.</t>
  </si>
  <si>
    <t>Execute Inward Interbank Direct Debit Collection (TARGET2)</t>
  </si>
  <si>
    <t>Initiate Interbank Direct Debit Cancellation Request (TARGET2)</t>
  </si>
  <si>
    <t>Initiate Outward Interbank Direct Debit Collection (TARGET2)</t>
  </si>
  <si>
    <t>Process Response for Interbank Direct Debit Cancellation Request (TARGET2)</t>
  </si>
  <si>
    <t>Receive Response for Interbank Direct Debit from Clearing (TARGET2)</t>
  </si>
  <si>
    <t>This process describes activities involved in receiving TARGET2 inward Interbank Direct Debit collection. Post successful validation, accounting entries are generated and status is updated. If the validation is unsuccessful, transaction is repaired manually.</t>
  </si>
  <si>
    <t>This process describes activities involved in initiating a cancellation request for outward TARGET2 Interbank Direct Debit which was initiated earlier. Post authorization, message (camt.056) is sent to Clearing.</t>
  </si>
  <si>
    <t>This process describes the activities involved in initiating a TARGET2 Interbank Direct Debit collection. Upon successful validations, pacs.010 message is sent to Clearing and accounting entries raised for "Credit now" posting method.</t>
  </si>
  <si>
    <t>This process describes activities involved in receiving a response to TARGET2 Interbank Direct Debit cancellation request initiated earlier. If a positive response is received, the original transaction is cancelled and accounting entries reversed for the “Credit now” posting method. If a negative response is received, the original cancellation request is cancelled.</t>
  </si>
  <si>
    <t>This process describes activities involved in receiving a response (pacs.002/ admi.007) from TARGET2 Clearing for outward Interbank Direct Debit sent earlier. Based on the response, the status of the transaction is updated. For positive pacs.002 response, accounting entries is generated for "Credit on confirmation" posting method. A negative pacs.002 response will lead to reversal of accounting entries for “Credit now” posting method. If response is through admi.007, the transaction is cancelled (automatically/ manually) or completed manually.</t>
  </si>
  <si>
    <t>Receive and Execute Inward EBA Request To Pay</t>
  </si>
  <si>
    <t>Receive Response for Outward EBA Request To Pay</t>
  </si>
  <si>
    <t>Initiate and Execute Outward Request To Pay *</t>
  </si>
  <si>
    <t>Hold and Release Settlement Instruction (CSDR)</t>
  </si>
  <si>
    <t>Manage Penalty Processing for Failed Settlements (CSDR)</t>
  </si>
  <si>
    <t>Process Bilateral Cancellation of Settlement Instruction (CSDR)</t>
  </si>
  <si>
    <t>Manage Disclosure of Shareholders Identification</t>
  </si>
  <si>
    <t>Create and Generate AML Regulatory Report</t>
  </si>
  <si>
    <t>The process describes the activities involved in the creation and generation of the SAR/ CTR report. This allows banks to submit SAR and CTR reports in standardized formats to Financial Intelligence Unit (FIU) according to the country or jurisdiction-specific rules and specifications.</t>
  </si>
  <si>
    <t>Create Debit Mandate (TBS)</t>
  </si>
  <si>
    <t>Execute Charge Off (TBS)</t>
  </si>
  <si>
    <t>Maintain Loan (TBS)</t>
  </si>
  <si>
    <t>Pay Off Loan (TBS)</t>
  </si>
  <si>
    <t>This process describes the activities involved in the creation of debit mandate for loan repayments.</t>
  </si>
  <si>
    <t>This process describes the activities involved in executing Charge Off on the customer loan account. Based on the Charge Off type (full or partial), Charge Off amount is updated in the loan.</t>
  </si>
  <si>
    <t>This process describes the activities involved in the amendment of a loan like adding/ removing party, changing repayment schedule, changing settlement details and changing commitment amount.</t>
  </si>
  <si>
    <t>This process describes activities involved in an early closure (Pay Off) of loan.</t>
  </si>
  <si>
    <t>16.3.1 Standalone Processes</t>
  </si>
  <si>
    <t>16.3.2 End to End Processes</t>
  </si>
  <si>
    <t>This process describes activities involved in the initiation of an order to buy/ sell instruments by a Wealth customer, the creation of order in TAP (Wealth-Suite) and the subsequent order processing in Transact.</t>
  </si>
  <si>
    <t>This process describes activities involved in raising an Import LC request by a corporate customer.</t>
  </si>
  <si>
    <t>13.7 Definition of Default (DOD)</t>
  </si>
  <si>
    <t>Calculate Days Past Due (DPD)</t>
  </si>
  <si>
    <t>Manage Definition of Default (DOD)</t>
  </si>
  <si>
    <t>Recognise Unlikeness To Pay (UTP)</t>
  </si>
  <si>
    <t>This process describes the activities involved in receiving request for disclosure of shareholders identification based on Shareholder Rights Directive (SRD II), from an issuer or from a third party nominated by the issuer. The request message (seev.045) provides details of the party to whom responses must be sent and the deadline to respond. System captures the details into SC.SRD.HLD.REQUEST and updates the status at each stage of processing the request. Response to disclosure request (seev.047) will contain an entry for each shareholder. On receipt of disclosure cancellation advice (seev.046), system updates the status of disclosure request as CANC. Back office user manually reviews and reverse disclosure request in cancellation status along the responses generated for the said disclosure request.</t>
  </si>
  <si>
    <t>This process describes the activities involved in processing bilateral cancellation of settlement instruction. As per Central Securities Depository Regulation (CSDR), matched instructions cannot be settled unilaterally. Matched instructions can only be cancelled if both counterparties request for cancellation of their instructions. Until the cancellation confirmation is received from the market, the instruction will remain eligible for settlement. Depositories for which bilateral cancellation is applicable must be defined in CSDR parameter file. Request for cancellation can be initiated either by bank or by counterparty. System updates the status of cancellation received via MT548 message from custodian and reverses the trade when both parties agrees for cancellation of instruction.</t>
  </si>
  <si>
    <t>This process details on the calculation and posting of cash penalties for failed settlements. Calculation of penalty fees is based on Penalty rates configured in the application SC.SETT.PENALTY.RATES. Late Matching Fail Penalty (LMFP) and Settlement Fail Penalty (SEFP) are processed based on the Intended Settlement Date of the transaction being settled. Daily penalty can be received either via MT537 or MT548 based on CSDR parameter setup. System receives and processes the daily penalty details for each transaction until the settlement is completed. On receipt of net monthly penalty details for each counterparty, system updates the details received via an incoming MT537 message. The details are available for the settlement analyst to review and post the penalty fee calculated.</t>
  </si>
  <si>
    <t>This process describes activities involved in the initiation of an order to buy/ sell instruments by a Wealth customer.</t>
  </si>
  <si>
    <t>Process Clearing Status Report (SEPA) *</t>
  </si>
  <si>
    <t>This process describes the activities involved in the calculation of Days Past Due (DPD) as defined in the Definition of Default (DOD) regulatory rules governing the identification of default of an obligor. Days Past Due (DPD) default flag is set based on Days Past Due (DPD) calculation and Materiality Threshold breach at facility and obligor level.</t>
  </si>
  <si>
    <t>This process is for attaching the charges recoverable from the borrower. The charges so attached are recovered by the system automatically at the defined frequency/ event.</t>
  </si>
  <si>
    <t>This process describes the activities involved in processing response received for an previously initiated EBA Request To Pay order. Accounting entries are generated if a positive response is received and for a negative response (Final) or interim response, the status is updated and customer is informed.</t>
  </si>
  <si>
    <t>This process describes the activities involved in receiving bulk Request To Pay (RTP) via manual upload or automatic upload. After successful validations, Request To Pay (pain.013) is sent to Central Infrastructure. If validation fails, Request To Pay is rejected and customer is informed.</t>
  </si>
  <si>
    <t>Initiate and Execute Outward Bulk Request to Pay</t>
  </si>
  <si>
    <t>Initiate Outward RTP Mandate (Pre-Authorisation) Request</t>
  </si>
  <si>
    <t>Initiate Recall of Outward Request To Pay</t>
  </si>
  <si>
    <t>Process Inward RTP Investigation Request</t>
  </si>
  <si>
    <t>Process Inward RTP Mandate (Pre-Authorisation) Request</t>
  </si>
  <si>
    <t>Process Response for Outward Request To Pay</t>
  </si>
  <si>
    <t>Process Response Received for Recall of Outward Request To Pay</t>
  </si>
  <si>
    <t>Receive Request for Recall of Inward Request To Pay</t>
  </si>
  <si>
    <t>Initiate Outward RTP Investigation Request</t>
  </si>
  <si>
    <t>This process describes the activities involved in initiating an investigation request (pacs.028) for an outward Request To Pay sent to the Payer Bank. Investigation message is triggered when the response is not received for RTP request within configured date/time. Based on the response received via pain.014, status of RTP payment is updated.</t>
  </si>
  <si>
    <t>This process describes the activities involved in initiating an outward RTP mandate request. If the pre-authorisation feature (mandate) is configured, then an RTP request can be initiated only if a valid mandate between the requestor and payer is available. Post validation, mandate request is sent to Central Infrastructure through API. Based on the response received, the status of the mandate is updated and requestor informed of the status.</t>
  </si>
  <si>
    <t>This process describes the activities involved in initiating a recall request for an outward Request To Pay sent to the Payer Bank. Post successful validations, recall request for outward Request To Pay (camt.055) is sent to Central Infrastructure.</t>
  </si>
  <si>
    <t>This process describes the activities involved in receiving and processing investigation requests from Requestor Bank. On receipt of the request, the original Request To Pay is identified. Based on the status of payment, the investigation request is accepted or rejected and a response is sent to Requestor Bank via pain.014.</t>
  </si>
  <si>
    <t>This process describes the activities involved in receiving an inward RTP mandate (pre-authorisation) request through API. Post validation, the request is accepted or rejected by the payer and the response sent to Central Infrastructure through API.</t>
  </si>
  <si>
    <t>This process describes the steps involved in processing response received for a previously initiated recall request. Based on the response received via camt.029, status of RTP payment is updated.</t>
  </si>
  <si>
    <t>This process describes the activities involved in receiving the recall request from the Requestor bank. On receipt of request, the original Request To Pay is identified. Based on status of payment, the recall request is accepted or rejected and response is sent to Central Infrastructure via camt.029.</t>
  </si>
  <si>
    <t>Configure Custom Labels</t>
  </si>
  <si>
    <t>This process describes the activities involved in the customisation of the standard set of labels that are embedded in the product as per the requirement of the Client.</t>
  </si>
  <si>
    <t>Create Reason Code</t>
  </si>
  <si>
    <t>This process describes the activities involved in the creation of new Reason Codes. Reason codes are the business rationale provided while releasing or rejecting a particular payment message or customer record.</t>
  </si>
  <si>
    <t>Create Transaction Deduction Rule</t>
  </si>
  <si>
    <t>This process describes the activities involved in the creation of the Transaction Detection Rule. The Transaction Detection Rule feature establishes scanning configuration values (conditions, fields, scan methods, watch lists) in the form of a rule pack called ScanRuleSet. A ScanRuleSet can have multiple scan rules and each scan rule consists of a watchlist, detection method, and field configuration, which are similar to the scan engine configuration in static files. The scan engine takes both the static file and activated transaction ScanRuleSet configuration into account and interacts granularly providing traces in the scan engine.</t>
  </si>
  <si>
    <t>Create and Validate Alerts Based on Role</t>
  </si>
  <si>
    <t>This process describes the activities involved in the creation of multi-company and multi-book alert by segregating them based on user role. Alert segregation based on role are adopted in banks consisting of multiple branches and multiple companies (Mandators) by using conditional filters on transaction messages.</t>
  </si>
  <si>
    <t>Generate Contributed Transactions Report</t>
  </si>
  <si>
    <t>This process describes the activities involved in the generation of contributed transactions reports for profile or SAP alerts in closed status. Contributed transactions indicate the transactions that satisfy the Profile or SAP rule. Transactions during the profile time period that did not contribute to alert generation will not be part of this report.</t>
  </si>
  <si>
    <t>14.8 Configuration Management Processes</t>
  </si>
  <si>
    <t>Manage Configuration</t>
  </si>
  <si>
    <t>Manage Erasure of Personal Data in Transactions</t>
  </si>
  <si>
    <t>This process describes the steps involved in erasure of personal data in transaction related applications. Transaction applications are those applications that facilitate payments or other types of transactions. Once the record moves to the archive file, based on the retention period defined, the data is anonymised.</t>
  </si>
  <si>
    <t>Write-off Loan (TBS)</t>
  </si>
  <si>
    <t>This process describes the activities involved in loan write-offs.</t>
  </si>
  <si>
    <t>This process describes the activities of applying and obtaining a Mortgage loan by a Retail customer.</t>
  </si>
  <si>
    <t>This process describes the activities of applying and obtaining a Re-mortgage loan by a Retail customer. A re-mortgage is the process of paying off one mortgage with the proceeds from a new mortgage using the same property as security.</t>
  </si>
  <si>
    <t>Create Currency Override (TAP) (Channel)</t>
  </si>
  <si>
    <t>17.1 Retail Lending Fulfillment Service (RFS)</t>
  </si>
  <si>
    <t>Reassign Transaction Alerts</t>
  </si>
  <si>
    <t>Create WatchList Group</t>
  </si>
  <si>
    <t>This process describes the activities involved in managing Individual Alerts. Alerts are reassigned from one user to another based on the profile selected, post enabling the Reassign button.</t>
  </si>
  <si>
    <t>The process describes the activities involved in the configuration of List Group functionality which allows users to create a list group with multiple watch lists. During an evaluation, using this feature, the compliance user can quickly determine which group the sanction element belongs to.</t>
  </si>
  <si>
    <t>This process describes the activities involved in adding or removing party from an account.</t>
  </si>
  <si>
    <t>This process describes the activities involved in changing the frequency of an account statement.</t>
  </si>
  <si>
    <t>This process describes the activities involved in adding or removing posting restriction for debit/credit transactions to an account.</t>
  </si>
  <si>
    <t>This Process describes the activities involved in crediting or debiting funds to/ from an account.</t>
  </si>
  <si>
    <t>The process describes the activities involved in the closure of an account. Account closure simulation is performed for the requested account ID followed by settlement of funds and successful closure of the account.</t>
  </si>
  <si>
    <t>This Process describes the activities involved in opening an arrangement account.</t>
  </si>
  <si>
    <t>This process describes the activities associated with changing the status of an account from active to inactive and vice versa.</t>
  </si>
  <si>
    <t>17.3 Target Instant Payment Settlement (TIPS) Service</t>
  </si>
  <si>
    <t>Receive and Validate Messages (TIPS Service)</t>
  </si>
  <si>
    <t>Receive and Execute Outward Remittance (TIPS Service)</t>
  </si>
  <si>
    <t>Execute Inward Credit Transfer (TIPS Service)</t>
  </si>
  <si>
    <t>Respond to Investigation (TIPS Service)</t>
  </si>
  <si>
    <t>17.4 Temenos Enterprise Pricing (TEP)</t>
  </si>
  <si>
    <t>Create Package Arrangement (TEP)</t>
  </si>
  <si>
    <t>Initiate Recall of Outward Request To Pay *</t>
  </si>
  <si>
    <t>Receive Request for Recall of Inward Request To Pay *</t>
  </si>
  <si>
    <t>This process describes the activities involved in receiving a recall request (camt.056) of inward remittance. When the request is received, the status of the original payment is validated. Based on the status of the payment, the recall request is accepted or rejected and a response is sent via pacs.002, pacs.004 or camt.029.</t>
  </si>
  <si>
    <t>Process Reversal or Cancellation of Inward Remittance (TARGET2)</t>
  </si>
  <si>
    <t>This process describes the activities involved in receiving a recall request (camt.056) of inward remittance. When the request is received, the status of the original payment is validated. Based on the status of the payment, the recall request is accepted or rejected and a response is sent via pacs.002 or pacs.004.</t>
  </si>
  <si>
    <t>Initiate and Execute Outward Bulk Request to Pay *</t>
  </si>
  <si>
    <t>8.6 Fixed Asset Management</t>
  </si>
  <si>
    <t>Configure Fixed Asset Parameters</t>
  </si>
  <si>
    <t>Record and Manage Fixed Assets</t>
  </si>
  <si>
    <t>Process Response Received for Outward Remittance (TIPS Service)</t>
  </si>
  <si>
    <t>Initiate Outward Remittance Cancellation Request (TIPS Service)</t>
  </si>
  <si>
    <t>Process Response Received for Outward Cancellation Request (TIPS Service)</t>
  </si>
  <si>
    <t>Execute Cancellation of Inward Credit Transfer (TIPS Service)</t>
  </si>
  <si>
    <t>Perform Sanction Screening (TIPS Service)</t>
  </si>
  <si>
    <t>Financial institutions are required to filter or screen payment instructions before the funds are made available to avoid any breaching of sanctions, embargoes and other measures. This filtering needs to happen real-time before booking the payment. Therefore a system needs to be in place wherein all payments/transactions can be monitored and filtered in a timely manner.
Filtering is necessary to stop transactions which aid: terrorist financing, illegal activities financing etc. or fall under OFAC list or SDN list. This is an indicative list and every bank can have its own criteria for filtering. This information is stored on the external database and not internally within the component.</t>
  </si>
  <si>
    <t>This process describes the activities of cancelling an Instant Payment that was initiated and sent to the Beneficiary Bank. Cancellation is requested by sending camt.056 within the acceptance period to Clearing.</t>
  </si>
  <si>
    <t>This process describes the activity of receiving a request to cancel inward credit. The cancellation request from the initiator is forwarded to clearing who in turn forwards it to the beneficiary bank. The cancellation request received from clearing is validated and executed. Cancellation Request is rejected in case the request is received after cancel acceptance days.</t>
  </si>
  <si>
    <t>This process describes the activities involved in receiving TIPS Instant payments requests either as electronic transfer instructions (e.g. pain.001) or as requests from customers. Electronic transfer instructions are validated for syntax and manual requests are simulated/ re-simulated for confirmation. Necessary validations (e.g. duplicate check) are performed before processing the remittance. Upon successful validation, Payment will be time-stamped and sent to Clearing. If payment is incorrect it will be automatically cancelled and a response sent back to the originator.</t>
  </si>
  <si>
    <t>This flow describes the process of receiving response from Clearing for the original remittance request sent. Response can be a positive or negative response. Based on the response either the payment is completed or payment rejected and transaction reversed.</t>
  </si>
  <si>
    <t>Process Bilateral Split of Settlement Instructions</t>
  </si>
  <si>
    <t>Process Trade Netting</t>
  </si>
  <si>
    <t>Set or Remove Posting Restrict (Corporate)</t>
  </si>
  <si>
    <t>Perform AML or KYC Check (PWM)</t>
  </si>
  <si>
    <t>Generate or View Statement MT942</t>
  </si>
  <si>
    <t>Manage Document and Image Upload</t>
  </si>
  <si>
    <t>Set or Remove Posting Restrict</t>
  </si>
  <si>
    <t>Set Block and Restrictions</t>
  </si>
  <si>
    <t>Block or Unblock Funds</t>
  </si>
  <si>
    <t>Generate MT112 - Status of Request for Stop Payment of a Cheque</t>
  </si>
  <si>
    <t>Manage Receipt or Dispatch of Cheque Book Stock</t>
  </si>
  <si>
    <t>Create and Disburse Retail Loan (Manual)</t>
  </si>
  <si>
    <t>Create and Disburse Retail Loan (Scheduled)</t>
  </si>
  <si>
    <t>Maintain or Reverse Limit</t>
  </si>
  <si>
    <t>Set or Reset Dormancy (AA)</t>
  </si>
  <si>
    <t>Receive or Execute Teller Financial Services</t>
  </si>
  <si>
    <t>Amend or Reverse Mass Block</t>
  </si>
  <si>
    <t>Set Up or Amend Pool and Groups (Transactional Pooling)</t>
  </si>
  <si>
    <t>Create Currency Summary (CS) or Summary Account (SA)</t>
  </si>
  <si>
    <t>Block or Unblock Funds (Corporate)</t>
  </si>
  <si>
    <t>Set or Remove Posting Restrict (Corporate) *</t>
  </si>
  <si>
    <t>Accept or Reject Discrepant Documents Under Import LC (Sight)</t>
  </si>
  <si>
    <t>Accept or Reject Discrepant Documents Under Import LC (Usance)</t>
  </si>
  <si>
    <t>Take or Release Margins</t>
  </si>
  <si>
    <t>Accept and Liquidate Documents (Usance)</t>
  </si>
  <si>
    <t>Liquidate Negotiated or Discounted Export LC (Sight or Usance or Mixed)</t>
  </si>
  <si>
    <t>Liquidate Sight and Accept Usance Payment Under LC (Mixed)</t>
  </si>
  <si>
    <t>Liquidate Negotiated or Discounted Export LC With Waived or Accepted Discrepancies</t>
  </si>
  <si>
    <t>Negotiate or Discount Export LC (Sight or Usance or Mixed)</t>
  </si>
  <si>
    <t>Register Documents Against Export LC (Sight or Mixed)</t>
  </si>
  <si>
    <t>Receive Acceptance or Rejection For Export Collection</t>
  </si>
  <si>
    <t>Accept or Reject Documents Presented Under Standby LC</t>
  </si>
  <si>
    <t>Pay or Reject Claim Under Standby LC</t>
  </si>
  <si>
    <t>Amend Guarantee or Standby LC</t>
  </si>
  <si>
    <t>Close Issued Guarantee or Standby LC</t>
  </si>
  <si>
    <t>Generate Non-Extension Notification of Guarantee or Standby LC</t>
  </si>
  <si>
    <t>Accept or Reject Amendment Request of Guarantee or Standby LC (Received)</t>
  </si>
  <si>
    <t>Accept or Reject Amendment Request of Guarantee or Standby LC (Received) *</t>
  </si>
  <si>
    <t>Advise Guarantee or Standby LC</t>
  </si>
  <si>
    <t>Advise Guarantee or Standby LC *</t>
  </si>
  <si>
    <t>Transfer Undertaking of Guarantee or Standby LC (Received)</t>
  </si>
  <si>
    <t>Transfer Undertaking of Guarantee or Standby LC (Received) *</t>
  </si>
  <si>
    <t>Create Main Account and Set up Group Hierarchy (Notional Pooling)</t>
  </si>
  <si>
    <t>2.2.7 Guarantees and Bonds</t>
  </si>
  <si>
    <t>2.2.7.1 Guarantees and Bonds Issued</t>
  </si>
  <si>
    <t>2.2.7.2 Guarantees and Bonds Received</t>
  </si>
  <si>
    <t>Manage and Decide On Amendments (LD)</t>
  </si>
  <si>
    <t>2.3.5.1 Capture and Maintain Overdues</t>
  </si>
  <si>
    <t>Monitor and Decide On Past Due Actions</t>
  </si>
  <si>
    <t>2.3.6 Limits, Collaterals and Loans Setup</t>
  </si>
  <si>
    <t>Create and Link Collateral (Corporate)</t>
  </si>
  <si>
    <t>2.1.5 Account or Deposit Administration</t>
  </si>
  <si>
    <t>Pay or Reject Claim Under Guarantee</t>
  </si>
  <si>
    <t>Amend or Preclose Loan (SL)</t>
  </si>
  <si>
    <t>Buy or Sell Contingent Portion to convert Facility (SL)</t>
  </si>
  <si>
    <t>Buy or Sell Non-Contingent Portion to convert Facility (SL)</t>
  </si>
  <si>
    <t>Change Penalty Interest Rate or Spread</t>
  </si>
  <si>
    <t>2.3.5.2 Settlement or Adjustment or Write-off</t>
  </si>
  <si>
    <t>Maintain or Reverse Limit (Corporate)</t>
  </si>
  <si>
    <t>Perform Split or Merge or Rollover of Drawings from Facility (Corporate)</t>
  </si>
  <si>
    <t>Perform Split or Merge or Rollover of Drawings (Corporate)</t>
  </si>
  <si>
    <t>2.1 Accounts and Deposits</t>
  </si>
  <si>
    <t>2.2 Trade Finance and Guarantees</t>
  </si>
  <si>
    <t>2.4 Factoring and Forfaiting</t>
  </si>
  <si>
    <t>1.1 Account and Deposit Processes</t>
  </si>
  <si>
    <t>1.3.7 Limits and Collaterals Setup</t>
  </si>
  <si>
    <t>1.1.2 Account or Deposit Administration</t>
  </si>
  <si>
    <t>1.4.1 Agent or Broker and Rewards</t>
  </si>
  <si>
    <t>Set Up or Execute Inward Entries</t>
  </si>
  <si>
    <t>Receive Request for Call Back or Cancellation of Outward Remittance (XML) *</t>
  </si>
  <si>
    <t>Process Reversal or Cancellation of Inward Remittance (PP)</t>
  </si>
  <si>
    <t>Send Query or Answers or Free Format Messages (PP)</t>
  </si>
  <si>
    <t>Process Reversal or Cancellation of Inward Remittance (XML)</t>
  </si>
  <si>
    <t>Receive Request for Call Back or Cancellation of Outward Remittance (XML)</t>
  </si>
  <si>
    <t>Execute Return or Refund of Settled Direct Debits (Manual) (XML)</t>
  </si>
  <si>
    <t>Execute Direct Debit Refund or Return Request from Debtor Bank (XML)</t>
  </si>
  <si>
    <t>Receive Response from Clearing or Direct Participant (Instant)</t>
  </si>
  <si>
    <t>Process Reversal or Cancellation of Inward Remittance (XML) *</t>
  </si>
  <si>
    <t>Process Reversal or Cancellation of Inward Remittance from Indirect Participant (SEPA)</t>
  </si>
  <si>
    <t>Execute Return or Refund of Settled Direct Debits (Manual) (XML) *</t>
  </si>
  <si>
    <t>Execute Direct Debit Refund or Return Request from Debtor Bank (XML) *</t>
  </si>
  <si>
    <t>Receive Response from Clearing or Direct Participant (Instant) *</t>
  </si>
  <si>
    <t>Process Reversal or Cancellation of Inward Remittance (SIC)</t>
  </si>
  <si>
    <t>Process Reversal or Cancellation of Inward Remittance (InterGIRO2)</t>
  </si>
  <si>
    <t>Process Reversal or Cancellation Received for Inward Remittance (Euro SIC)</t>
  </si>
  <si>
    <t>Process Reversal of Unsuccessful Direct Debit Collection or Return (Interac)</t>
  </si>
  <si>
    <t>Process Reversal or Cancellation of Inward Remittance (NPP)</t>
  </si>
  <si>
    <t>Validate and Execute Draft Issue</t>
  </si>
  <si>
    <t>Receive and Execute Payment Instructions (Standalone)</t>
  </si>
  <si>
    <t>Validate and Execute Account To Account Transfer (Back Office) (PP)</t>
  </si>
  <si>
    <t>Validate and Execute Outward Remittance (PP)</t>
  </si>
  <si>
    <t>Validate and Execute Outward Remittance (SIC)</t>
  </si>
  <si>
    <t>Validate and Execute Outward Remittance (MASAV)</t>
  </si>
  <si>
    <t>Validate and Execute Outward Remittance (InterGIRO2)</t>
  </si>
  <si>
    <t>Receive and Execute Customer Bill Payment (BPAY)</t>
  </si>
  <si>
    <t>Validate and Execute Outward Remittance (Euro SIC)</t>
  </si>
  <si>
    <t>Validate and Execute Outward Remittance (RTGS)</t>
  </si>
  <si>
    <t>Validate and Execute Outward Remittance (NEFT)</t>
  </si>
  <si>
    <t>3.2 Cheque Collection and Clearing</t>
  </si>
  <si>
    <t>4.2.1 Position and Market Analysis</t>
  </si>
  <si>
    <t>4.2.2 Trading Initiation and Execution</t>
  </si>
  <si>
    <t>4.3.1 Position and Market Analysis</t>
  </si>
  <si>
    <t>Perform Position and Market Analysis (FRA)</t>
  </si>
  <si>
    <t>4.3.2 Trading Initiation and Execution</t>
  </si>
  <si>
    <t>Complete Trade Data and Confirmation (FRA)</t>
  </si>
  <si>
    <t>4.4.1 Position and Market Analysis</t>
  </si>
  <si>
    <t>Perform Position and Market Analysis (SWAP)</t>
  </si>
  <si>
    <t>4.4.2 Trading Initiation and Execution</t>
  </si>
  <si>
    <t>Complete Trade Data and Confirmation (SWAP)</t>
  </si>
  <si>
    <t>4.5.1 Position and Market Analysis</t>
  </si>
  <si>
    <t>Perform Position and Market Analysis (Money Market)</t>
  </si>
  <si>
    <t>4.5.2 Trading Initiation and Execution</t>
  </si>
  <si>
    <t>Complete Trade Data and Confirmation (Money Market)</t>
  </si>
  <si>
    <t>Perform Position and Market Analysis (Forex)</t>
  </si>
  <si>
    <t>4.6.2 Trading Initiation and Execution</t>
  </si>
  <si>
    <t>Verify Trade Data and Confirmation (Forex Bulk Order)</t>
  </si>
  <si>
    <t>Verify Trade Data and Confirmation (Forex)</t>
  </si>
  <si>
    <t>4.7.1 Position and Market Analysis</t>
  </si>
  <si>
    <t>Perform Position and Market Analysis (NDF)</t>
  </si>
  <si>
    <t>4.7.2 Trading Initiation and Execution</t>
  </si>
  <si>
    <t>Verify Trade Data and Confirmation (Forex) *</t>
  </si>
  <si>
    <t>Perform Position and Market Analysis (Forex) (TFO)</t>
  </si>
  <si>
    <t>Perform Position and Market Analysis (NDF) (TFO)</t>
  </si>
  <si>
    <t>Perform Position and Market Analysis (Money Market) (TFO)</t>
  </si>
  <si>
    <t>Perform Position and Market Analysis (FRA) (TFO)</t>
  </si>
  <si>
    <t>Perform Position and Market Analysis (SWAP) (TFO)</t>
  </si>
  <si>
    <t>Perform Position and Market Analysis (Derivatives or Own Book)</t>
  </si>
  <si>
    <t>Execute Trade (Derivatives or Own Book)</t>
  </si>
  <si>
    <t>Execute Settlement (Derivatives or Own Book)</t>
  </si>
  <si>
    <t>Exercise Option or Assignment (OTC)</t>
  </si>
  <si>
    <t>Manage Maturity or Expiry (Derivatives or Own Book)</t>
  </si>
  <si>
    <t>Perform Closeout (Derivatives or Own Book)</t>
  </si>
  <si>
    <t>Trigger Exotic Options (Derivatives or Own Book)</t>
  </si>
  <si>
    <t>Perform Position and Market Analysis (SEC or Own Book)</t>
  </si>
  <si>
    <t>Execute Trade (Sec or Own Book)</t>
  </si>
  <si>
    <t>Generate Advices and Perform Pre Matching (Sec or Own Book)</t>
  </si>
  <si>
    <t>Perform Off-Market Trade or Transfers (Own Book)</t>
  </si>
  <si>
    <t>Process Rollover or Repayments (Money Market)</t>
  </si>
  <si>
    <t>4.8 Repo or Reso</t>
  </si>
  <si>
    <t>Perform Position and Market Analysis (REPO or RESO)</t>
  </si>
  <si>
    <t>Amend Deal (REPO or RESO)</t>
  </si>
  <si>
    <t>Execute Trade (REPO or RESO)</t>
  </si>
  <si>
    <t>Complete Trade Data and Confirmation (REPO or RESO)</t>
  </si>
  <si>
    <t>Execute Settlement (REPO or RESO)</t>
  </si>
  <si>
    <t>Perform Repayment or Rate Refix (REPO or RESO)</t>
  </si>
  <si>
    <t>Perform Position and Market Analysis (SEC or Own Book) (TFO)</t>
  </si>
  <si>
    <t>Execute Trade (SEC or Own Book) (TFO)</t>
  </si>
  <si>
    <t>Amend or Cancel Order</t>
  </si>
  <si>
    <t>Amend or Cancel Order (STP)</t>
  </si>
  <si>
    <t>Add or Check-in To Vault</t>
  </si>
  <si>
    <t>Remove or Checkout From Vault</t>
  </si>
  <si>
    <t>Capture Custody Trade or Transfer</t>
  </si>
  <si>
    <t>Execute or Confirm Derivatives Order</t>
  </si>
  <si>
    <t>Exercise Option or Assignment</t>
  </si>
  <si>
    <t>Exercise Swaptions or Assignment</t>
  </si>
  <si>
    <t>Manage Maturity or Expiry (Derivatives)</t>
  </si>
  <si>
    <t>Perform Auto Exercise or Expiry of Options</t>
  </si>
  <si>
    <t>5.2.4.1 Dual or Triple Currency Investment</t>
  </si>
  <si>
    <t>Initiate Dual or Triple Currency Investments (SY)</t>
  </si>
  <si>
    <t>Manage Processing of DCI or TCI (SY)</t>
  </si>
  <si>
    <t>Manage processing of Accumulators or Decumulators (SY)</t>
  </si>
  <si>
    <t>Initiate FX Forwards or TARKO (SY)</t>
  </si>
  <si>
    <t>Manage Processing of FX Forwards or TARKO (SY)</t>
  </si>
  <si>
    <t>Perform Bulk Transfer In or Out</t>
  </si>
  <si>
    <t>Perform Free Asset Transfer In or Out</t>
  </si>
  <si>
    <t>Manage Corporate Event - Top-up and Sale or Notice Retention</t>
  </si>
  <si>
    <t>Update Daily Revaluation or Margin Calls</t>
  </si>
  <si>
    <t>Manage Corporate Actions or Dividend Payments (Mutual Funds)</t>
  </si>
  <si>
    <t>Amend or Approve Pooled Orders</t>
  </si>
  <si>
    <t>Amend or Cancel Goal Based Portfolio (TAP) (Channel)</t>
  </si>
  <si>
    <t>Perform SMA Full Redemption or Close Investment (TAP) (Channel)</t>
  </si>
  <si>
    <t>Execute or Confirm Derivatives Order - DMA (TAP)</t>
  </si>
  <si>
    <t>Execute or Confirm Derivatives Order - NDMA (WS)</t>
  </si>
  <si>
    <t>Exercise Option or Assignment (WS)</t>
  </si>
  <si>
    <t>Manage Maturity or Expiry (Derivatives) (WS)</t>
  </si>
  <si>
    <t>Amend or Update Client or Group Record (TAP) (Channel)</t>
  </si>
  <si>
    <t>5.1.1.2 Constraints and Restrictions Definition</t>
  </si>
  <si>
    <t>Perform Pre Trade and Post Trade Restrictions</t>
  </si>
  <si>
    <t>5.1.1.4 Comparison and Rebalancing</t>
  </si>
  <si>
    <t>5.2.1.1 Trading Initiation and Execution</t>
  </si>
  <si>
    <t>Receive and Initiate Common Order Placement</t>
  </si>
  <si>
    <t>Complete and Authorise Trade (Manual)</t>
  </si>
  <si>
    <t>Complete and Authorise Brokerage Only Transactions</t>
  </si>
  <si>
    <t>Complete and Authorise Trade (STP)</t>
  </si>
  <si>
    <t>Perform Trade Aggregation and Settlement</t>
  </si>
  <si>
    <t>Validate and Execute Account To Account Transfer (Private Wealth)</t>
  </si>
  <si>
    <t>Validate and Execute Outward Remittance (Private Wealth)</t>
  </si>
  <si>
    <t>5.2.1.5 Stock Borrowing and Lending</t>
  </si>
  <si>
    <t>5.3 Administration, Static Data and Corporate Actions</t>
  </si>
  <si>
    <t>Process Management and Safekeeping Fees</t>
  </si>
  <si>
    <t>Create Agent and Set Up Fee</t>
  </si>
  <si>
    <t>Create Security and Fund Master</t>
  </si>
  <si>
    <t>Block or Unblock Mutual Fund Portfolio and Scheme</t>
  </si>
  <si>
    <t>Verify and Execute Mutual Fund Order</t>
  </si>
  <si>
    <t>Generate Advices and Perform Pre Matching (FMC)</t>
  </si>
  <si>
    <t>Complete and Authorise Trade (WS)</t>
  </si>
  <si>
    <t>5.6.5 Loans and Deposits</t>
  </si>
  <si>
    <t>Capture Documents and Conditions - LC (Online Channels Corporate)</t>
  </si>
  <si>
    <t>Amend or Delete Travel Notifications (Online Channels Retail)</t>
  </si>
  <si>
    <t>View Accounts or Transaction Details (Online Channels Retail)</t>
  </si>
  <si>
    <t>Accept or Reject Export LC Amendments (Online Channels Corporate)</t>
  </si>
  <si>
    <t>Amend or Cancel Order (PWM Internet Banking)</t>
  </si>
  <si>
    <t>Initiate New Payment or Transfer (PWM Internet Banking)</t>
  </si>
  <si>
    <t>View or Download Portfolio Statements (PWM Internet Banking)</t>
  </si>
  <si>
    <t>Authorise or Reject External Users for Online Channels</t>
  </si>
  <si>
    <t>Authorise or Reject Online Channels Customer Profile</t>
  </si>
  <si>
    <t>Authorise or Reject Online Channels Customer Role</t>
  </si>
  <si>
    <t>Create Direct or Indirect User for Online Channels</t>
  </si>
  <si>
    <t>Define Fees and Commissions Parameters</t>
  </si>
  <si>
    <t>Set or Reset Dormancy (AA) *</t>
  </si>
  <si>
    <t>Perform Asset or Commodity Review (IF)</t>
  </si>
  <si>
    <t>10.2 Islamic Account and Deposit</t>
  </si>
  <si>
    <t>Create and Disburse Murabaha Finance (Manual) (IF)</t>
  </si>
  <si>
    <t>Create and Disburse Murabaha Finance (Scheduled) (IF)</t>
  </si>
  <si>
    <t>Create and Disburse Ijara Finance (Manual) (IF)</t>
  </si>
  <si>
    <t>Create and Disburse Ijara Finance (Scheduled) (IF)</t>
  </si>
  <si>
    <t>Create and Disburse Commodity Murabaha Finance (Manual) (IF)</t>
  </si>
  <si>
    <t>Create and Disburse Commodity Murabaha Finance (Scheduled) (IF)</t>
  </si>
  <si>
    <t>Create and Disburse Diminishing Musharaka Finance (Manual) (IF)</t>
  </si>
  <si>
    <t>Create and Disburse Diminishing Musharaka Finance (Scheduled) (IF)</t>
  </si>
  <si>
    <t>Create and Disburse Mudaraba Finance (Manual) (IF)</t>
  </si>
  <si>
    <t>Create and Disburse Mudaraba Finance (Scheduled) (IF)</t>
  </si>
  <si>
    <t>Create and Disburse Forward Ijara Finance (Manual) (IF)</t>
  </si>
  <si>
    <t>Create and Disburse Forward Ijara Finance (Scheduled) (IF)</t>
  </si>
  <si>
    <t>Create and Disburse Qard Hassan Finance (Manual) (IF)</t>
  </si>
  <si>
    <t>Create and Disburse Qard Hassan Finance (Scheduled) (IF)</t>
  </si>
  <si>
    <t>Create and Disburse Baisalam Finance (Manual) (IF)</t>
  </si>
  <si>
    <t>Create and Disburse Baisalam Finance (Scheduled) (IF)</t>
  </si>
  <si>
    <t>Create and Disburse Wakala Finance (Manual) (IF)</t>
  </si>
  <si>
    <t>Create and Disburse Wakala Finance (Scheduled) (IF)</t>
  </si>
  <si>
    <t>Create Musawama Finance and Settle Wakala Finance (Manual) (IF)</t>
  </si>
  <si>
    <t>Create Musawama Finance and Settle Wakala Finance (Scheduled) (IF)</t>
  </si>
  <si>
    <t>10.4.4.2 Limits and Collateral Set Up (IF)</t>
  </si>
  <si>
    <t>Create and Link Collateral (IF)</t>
  </si>
  <si>
    <t>Manage Document and Image Upload (USMB)</t>
  </si>
  <si>
    <t>Create and Disburse Retail Loan (USMB)</t>
  </si>
  <si>
    <t>Create and Disburse Loan (PEMB)</t>
  </si>
  <si>
    <t>Define and Maintain Tax Exemption Parameters (PEMB)</t>
  </si>
  <si>
    <t>Create and Disburse Loan (ARMB)</t>
  </si>
  <si>
    <t>Define and Maintain Tax Exemption Parameters (ARMB)</t>
  </si>
  <si>
    <t>11.1.3 Individual or Junior Individual Savings Account (ISA or JISA)</t>
  </si>
  <si>
    <t>Execute ISA or JISA Subscription Free Transfer (UKMB)</t>
  </si>
  <si>
    <t>Execute ISA or JISA Subscription Transfer (UKMB)</t>
  </si>
  <si>
    <t>Initiate ISA or JISA Electronic Transfer (UKMB)</t>
  </si>
  <si>
    <t>Open ISA or JISA Account or Deposit (UKMB)</t>
  </si>
  <si>
    <t>Set Up ISA or JISA Subscription Limit (UKMB)</t>
  </si>
  <si>
    <t>Set or Remove Posting Restrict (USMB)</t>
  </si>
  <si>
    <t>Block or Unblock Funds (USMB)</t>
  </si>
  <si>
    <t>Block or Unblock Funds (Corporate) (USMB)</t>
  </si>
  <si>
    <t>Accept or Reject Discrepant Documents Under Import LC (Sight) *</t>
  </si>
  <si>
    <t>Accept or Reject Discrepant Documents Under Import LC (Usance) *</t>
  </si>
  <si>
    <t>Process Export Realisation From Non-FIRC Payment or Other Bank FIRC (EDPMS) (INMB)</t>
  </si>
  <si>
    <t>Amend Person or Entity (PEMB)</t>
  </si>
  <si>
    <t>Create Person or Entity (PEMB)</t>
  </si>
  <si>
    <t>Amend or Delete Alias Code (ARMB)</t>
  </si>
  <si>
    <t>Set or Remove Posting Restrict *</t>
  </si>
  <si>
    <t>Perform Manual Collection or Refund of Tax (ARMB)</t>
  </si>
  <si>
    <t>Process Reversal or Cancellation of FX Transaction (ARMB)</t>
  </si>
  <si>
    <t>Approve Campaign with A or B Testing</t>
  </si>
  <si>
    <t>Approve Campaign without A or B testing</t>
  </si>
  <si>
    <t>Create and Generate SAR or CTR Report</t>
  </si>
  <si>
    <t>15.1.1 General Ledger and Reporting Charts</t>
  </si>
  <si>
    <t>15.4 Administration, Static Data and Corporate Actions</t>
  </si>
  <si>
    <t>15.4.1 Securities and Derivatives Administration</t>
  </si>
  <si>
    <t>Create Security Master for Fixed or Floating Rate Bonds</t>
  </si>
  <si>
    <t>Book Debit or Credit Adjustment</t>
  </si>
  <si>
    <t>Book Loan or Deposit Transaction</t>
  </si>
  <si>
    <t>Book Stock or Bond Transaction</t>
  </si>
  <si>
    <t>Book Subscription or Redemption Transaction</t>
  </si>
  <si>
    <t>Modify Stock or Bond Transaction</t>
  </si>
  <si>
    <t>Process Loan or Deposit Repayment</t>
  </si>
  <si>
    <t>Rebook Stock or Bond Transaction</t>
  </si>
  <si>
    <t>Regulatory Reporting and Compliance Processes</t>
  </si>
  <si>
    <t>1.4 Agent or Broker, Rewards and Consent</t>
  </si>
  <si>
    <t>Update Party Relationship of a Customer for Household Pricing (TEP)</t>
  </si>
  <si>
    <t>Close Package Arrangement (TEP)</t>
  </si>
  <si>
    <t>Update Negotiated Price for Financial Arrangement (TEP)</t>
  </si>
  <si>
    <t>This process describes the activities involved in the updation of negotiated price for Financial Arrangement using Adjust Pricing (Negotiation) API. For example, the price negotiated with the customer during the origination of an arrangement is updated by adjusting the price calculated in TEP. The pricing details for the individual customer will be overridden by the new negotiated price.</t>
  </si>
  <si>
    <t>This process describes the activities involved in the creation of a package arrangement. Packaging enables financial institutions to offer multiple products and services bundled together for pricing benefits. Temenos Enterprise Pricing (TEP) allows packaging and provides the ability to fully configure the pricing, for both package arrangement and product/ service arrangements that constitute the package, irrespective of the core banking system(s) servicing the constituent products. Pricing will be executed during runtime when an event is raised (e.g. when customer does a transaction) based on the package product conditions.</t>
  </si>
  <si>
    <t>This process describes the activities involved in the closure of a package arrangement. The package reference id gets passed via API for which the package must be closed and additional details of any closure fees as applicable will be shared with the requesting system.</t>
  </si>
  <si>
    <r>
      <t>This process describes the response received (pacs.002) from Clearing for the original remittance request sent. On receipt of response, the status of the transaction is updated. A positive response will generate accounting entries. A negative response will lead to unblock of funds raised during execution of payment</t>
    </r>
    <r>
      <rPr>
        <sz val="11"/>
        <rFont val="Calibri"/>
        <family val="2"/>
        <scheme val="minor"/>
      </rPr>
      <t>.</t>
    </r>
  </si>
  <si>
    <r>
      <t>This process describes the activities involved in execution of Nordic Instant Payments. Post validation, funds will be credited to the beneficiary account. If validation fails, transaction is automatically rejected and rejection notice sent to clearing</t>
    </r>
    <r>
      <rPr>
        <sz val="11"/>
        <rFont val="Calibri"/>
        <family val="2"/>
        <scheme val="minor"/>
      </rPr>
      <t>.</t>
    </r>
  </si>
  <si>
    <t>This process describes activities associated with viewing accounts using Custom view/ Filter criteria by a Retail customer.</t>
  </si>
  <si>
    <t>This Process describes the activities involved in the Fixed Asset Life-cycle Management. Fixed Asset life-cycle events (Register, Capital WIP, Purchase, Capital Improvement, Transfer, Depreciation, Dispose and Write-off) are recorded as a dated activity for efficient enquiring and tracking. Third Party vendors/ suppliers are captured through Beneficiary application.</t>
  </si>
  <si>
    <t>Activate Cash Pool and Pool Accounts</t>
  </si>
  <si>
    <t>Amend Guarantee or Standby LC *</t>
  </si>
  <si>
    <t>Close Issued Guarantee or Standby LC *</t>
  </si>
  <si>
    <t>Execute Settlement (Sec or Own Book)</t>
  </si>
  <si>
    <t>Generate Non-Extension Notification of Guarantee or Standby LC *</t>
  </si>
  <si>
    <t>Initiate Security Order (1 Step)</t>
  </si>
  <si>
    <t>4.1.1 Position and Market Analysis</t>
  </si>
  <si>
    <t>4.6.1 Position and Market Analysis</t>
  </si>
  <si>
    <t>4.8.1 Position and Market Analysis</t>
  </si>
  <si>
    <t>This process describes the steps involved in creating a Customer Profile for online access. This is achieved through the creation of an Online service arrangement. This online service arrangement defines the customer type (Retail/ Corporate), permissions and privileges assigned to the user for access. The following properties are set in the master arrangement while creating online profile: (a) Licensing - This property restricts the maximum no. of users and roles to which this online profile can be assigned to. (b) Permission - Account specific permission to see/transact/exclude. (c) Privilege - Functions that the user would be allowed to perform in Online Banking e.g. Perform Bulk Payment, Enable Trade Finance functionalities etc. (d) Availability - Specify day/time for the user to perform activities. (e) Daily Limit - Daily transaction limit for the user.</t>
  </si>
  <si>
    <t>This process describes the steps involved in creating a role for an online user to define the boundary of his/her actions. Role can be created by the Bank or by a Corporate User having Administration privileges. The Role provides the possibility to give restricted and targeted access to groups of users. A Role can only restrict access that the Master Arrangement (Customer Profile) defines, not grant additional access. Indirect user can be created for an User Role (sub arrangement) or a Customer Profile(master arrangement). The following properties are set in the sub-arrangement while creating the role for online user: (a) Permission - Account specific permission to see/transact/exclude (b) Privilege - Functions that the user would be allowed to perform in Online Banking e.g. Perform Bulk Payment, Enable Trade Finance functionalities etc. (c) Availability - Specify day/time for the user to perform activities. (d) Daily Limit - Daily transaction limit for the user.</t>
  </si>
  <si>
    <t>Process for maintaining parameters for securities based applications like MF, Corporate Actions, and Securities.</t>
  </si>
  <si>
    <t>This process deals with creating overrides for various transactions and definition of user hierarchy for approving the overrides.</t>
  </si>
  <si>
    <t>The group is created by specifying the master account. To the created group multiple accounts are linked to create the pool. This creates a tree structure of accounts held by a Corporate. The pooling could be either Shared or a Sweep. In case of Shared Pooling, the sum total of all account balances are checked while performing the transaction. For a Sweep setup, the balances are transferred according to defined rules. Cash Pool can be suspended - For a day by setting Suspend Start Date (or) - For a specific period by setting Suspend Start and Suspend End Date (or) - For an Indefinite period by setting Suspend Start Date and Suspend Indefinitely Sweep will not be performed between the accounts in the Cash Pool during Cash Pool suspension period.</t>
  </si>
  <si>
    <t>Note : 
Processes with Asterisk (*), are being used in more than one Vertical as Shortcut.</t>
  </si>
  <si>
    <t>Regulatory Reporting Processes cover the creation of FATCA/ CRS report setup, creation, generation and checking of reports. It also caters to customer personal data definition, searching and protection. Processes involved in loan management and restructuring have also been included.</t>
  </si>
  <si>
    <t>This process describes the steps involved in opening a Mudaraba deposit. Mudaraba is a contract between a capital provider(rab-ul-mal) and an entrepreneur(Mudarib) under which rabulmal provides capital to be managed by the Mudarib and any profit generated from the capital is shared between the rabulmal and the mudarib according to a mutually agreed profit sharing ratio. As mudaraba is a trust-based contract, the mudarib is not liable for losses except in case of breach of the requirements of trust or misconduct. Guarantees against negligence or misconduct could be taken from the mudarib as long as they are not excessively used by the capital provider. The contract should specify whether the mudaraba instrument is unrestricted or restricted (to specific location or type of investment as agreed between parties). It should also indicate the distribution ratio of profit between both parties (which cannot be a lump sum or a percentage of capital). The distribution ratio could be revised at future dates by agreement of both parties.</t>
  </si>
  <si>
    <t>This process describes the execution of inward entries from customer bulk file. Based on OFS clearing mode, inward entries will be processed individually, as a batch or in bulk. Single entry processing (CSM): One entry/ request. The request message is processed online. Batch processing (CSMBATCH): multiple entry/ request. The batch message is received online, after the header is validated further processing is handled by a background process and the responses are asynchronous. The batch is split in individual messages which are the processed independently of each other. Bulk Processing (CSMBULK): multiple entry/ request. OFS Clearing will split the posting message in individual entries and will process them online in the sequence in which they are present in the request. Even if one entry fails the whole posting message is rejected. Process also describes the activity of Individual entries being matched against Transaction stop instructions during execution and in case of a match it is either returned or processed based on the default decision set in the parameter TZ.TRANSACTION.STOP.TYPE after creation of an investigation item (AC.FUNDS.AUTHORISATION on hold)</t>
  </si>
  <si>
    <t>This process describes the activity involved in the netting of trade settlement instructions. Trade Netting takes place when both the buy and the sell, on the broker side, are dependent on one another, and the broker is insufficient in both legs. The bank and the broker reduce settlement risk and any subsequent penalties, by allowing trades to net against one another reducing the unsettled position. Trade netting is done via the application SP.NET.SETTLEMENT. Trades get matched by comparing attributes like Security, Broker, Depository, Trade Currency, Stock Exchange, and Delivery Instruction to arrive at the final net nominal and net transaction code. Based on the net nominal, Net Trans Code gets updated and a corresponding reconciliation record is created. Settlement instructions for the netted trades are cancelled and a new instruction is sent from SP.RECONCILIATION with the Net Nominal and Net Trans Code. Re-netting is allowed by amending the existing SP.NET.SETTLEMENT record with the addition of a New Transaction Reference involved in netting. Any netted transaction can be split again using Split Settlement.</t>
  </si>
  <si>
    <t>Link Limit with Multi Currency Arrangement Account</t>
  </si>
  <si>
    <t>Process Customer Initiated Position Transfer</t>
  </si>
  <si>
    <t>Process Multi Currency Account Transaction</t>
  </si>
  <si>
    <t>Set Up or Amend Automatic Position Transfer</t>
  </si>
  <si>
    <t>This process describes the activities involved in attaching customer Limit to a multi-currency arrangement. An overall limit for a customer created via. Limit application can be attached to the multi-currency arrangement.</t>
  </si>
  <si>
    <t>This process describes the activities involved in initiating a customer induced position transfer in multi-currency arrangement for a customer. An internal position transfer from one currency sub-account to another sub-account, within an MCY structure, is executed. Position transfer from one sub-account to other considers the available balance along with the limit balance for the contribution from the sub-account. The system raises an override when the transaction amount is greater than the available balance for the sub-account (including limits).</t>
  </si>
  <si>
    <t>This process describes the activities involved in processing transactions against a multi-currency (MCY) account. For every transaction on a sub-account within the Multi-Currency (MCY) account structure, the memo balance per currency gets updated at the MCY arrangement account level. A debit transaction against a multi-currency (MCY) account is executed post credit check validations (If the balance to debt is more than the balance in the sub-account but well within the overall MCY balance). When a debit transaction results in a debit balance or overdraft in the sub-account, and if automatic position transfer is configured for the MCY account then funds are automatically moved from one currency to another within the MCY structure.</t>
  </si>
  <si>
    <t>17.5 Buy Now Pay Later (BNPL)</t>
  </si>
  <si>
    <t>Register for Buy Now Pay Later (BNPL)</t>
  </si>
  <si>
    <t>Perform Loan Simulation on Eligible Products (BNPL)</t>
  </si>
  <si>
    <t>Create Loan for Order Placed (BNPL)</t>
  </si>
  <si>
    <t>Disburse Loan against Order Shipment Confirmation (BNPL)</t>
  </si>
  <si>
    <t>Perform Facility Closure (BNPL)</t>
  </si>
  <si>
    <t>Pay Off Loan (Pre-Closure) (BNPL)</t>
  </si>
  <si>
    <t>Perform Loan Repayment (BNPL)</t>
  </si>
  <si>
    <t>Amend Facility (BNPL)</t>
  </si>
  <si>
    <t>Close or Amend Loan for Order Cancellation (BNPL)</t>
  </si>
  <si>
    <t>Apply Payment Holiday (BNPL)</t>
  </si>
  <si>
    <t>Close or Adjust Loan for Order Refund (BNPL)</t>
  </si>
  <si>
    <t>This process describes the activities involved in processing requests for Buy Now Pay Later (BNPL) registration. A new facility is created for requests from an existing Customer and for a request from a new Customer, a facility is created post Customer creation.</t>
  </si>
  <si>
    <t>This process describes the activities involved in the creation of a loan. On confirmation of a Buy Now Pay Later (BNPL) product based on simulation results and on order checkout by a customer, a request for loan creation gets placed via the merchant SDK. Facility limit availability and eligibility are validated before loan creation.</t>
  </si>
  <si>
    <t>This process describes the activities involved in the closure of a facility by the customer or by the bank based on ongoing credit assessment. All loans under the facility need to be paid off and closed before the closure of the facility.</t>
  </si>
  <si>
    <t>This process describes the activities involved in the pre-closure of a loan before the maturity date. BNPL service initiates a request to fetch the outstanding loan amount using the alternate ID and initiates the loan payoff.</t>
  </si>
  <si>
    <t>This process describes the activities involved in the repayment of the loan by the customer. The amount payable and milestones are pre-agreed or stipulated by the BNPL products. The amount repaid is based on the outstanding loan balance, interest on the outstanding balance, and fees and charges. BNPL provider channelises the payments received from multiple sources like Direct Debit, Wire Transfer and Internal CASA standing instructions appropriate against the loan. In case of multiple bills, the oldest bill gets settled first. Any excess payments are parked as excess credit, which is available for a refund based on request. BNPL service adjusts that excess amount when the next due gets created.</t>
  </si>
  <si>
    <t>This process describes the activities involved in closing or decreasing loan commitment amount for partial or full cancellation. Order cancellation happens either when customers choose to cancel the order even before the item is shipped or if the merchant cancels the order due not non-availability or feasibility to ship the order. The loan gets closed for full cancellation and for partial cancellation loan is amended and commitment is decreased.</t>
  </si>
  <si>
    <t>This process describes the activities involved in applying Payment Holiday for a BNPL loan in agreement with the lender and borrower whereupon the lender allows the borrower to defer one more due payment/ instalments. It is applicable for future instalments and not applicable for instalments that have already become due. During the period of payment holiday, interest will be continued to be charged on the total principal outstanding.</t>
  </si>
  <si>
    <t>This process describes the activities involved in the adjustment or closure of loan post acknowledgement of return of order by merchant. Loan is closed for full return of order while for partial return, loan principal is adjusted to the extent of return.</t>
  </si>
  <si>
    <t>Business Banking Processes</t>
  </si>
  <si>
    <t>18.1 Account Creation Processes</t>
  </si>
  <si>
    <t>Manage Customer Engagements (BB)</t>
  </si>
  <si>
    <t>Create Arrangement Account (BB)</t>
  </si>
  <si>
    <t>Create Facility Arrangement Account (BB)</t>
  </si>
  <si>
    <t>Create Customer (BB)</t>
  </si>
  <si>
    <t>Issue Cheque Book (BB)</t>
  </si>
  <si>
    <t>18.2 Facility Processes</t>
  </si>
  <si>
    <t>Perform Drawing Under Facility Arrangement Account (BB)</t>
  </si>
  <si>
    <t>18.3 Lending Processes</t>
  </si>
  <si>
    <t>Pay Off Loan (Pre-Closure) (BB)</t>
  </si>
  <si>
    <t>18.4 Deposits Processes</t>
  </si>
  <si>
    <t>Open Deposit (BB)</t>
  </si>
  <si>
    <t>Perform Pre-Closure of Deposit (BB)</t>
  </si>
  <si>
    <t>Perform Partial Withdrawal of Deposit (BB)</t>
  </si>
  <si>
    <t>Perform Repayment of Deposit (BB)</t>
  </si>
  <si>
    <t xml:space="preserve">Business Banking Processes </t>
  </si>
  <si>
    <t>Manage Loan Prepayments (BB)</t>
  </si>
  <si>
    <t>Perform Loan Repayment (BB)</t>
  </si>
  <si>
    <t>This process begins when the Business Banking Agent obtains all required documents from the SME customer. New customers will be recorded as prospects, before continuing with AML and KYC checks. In case of existing customers, checks are made to see if any KYC/AML updates are required. The Customer onboarding feature enables the user to choose the activity to be performed based on the status of the prospect/ Customer (existing or new).</t>
  </si>
  <si>
    <t>This process describes the issue of chequebook to the SME customer either as a part of the Business Banking account opening process or on receipt of an adhoc request.</t>
  </si>
  <si>
    <t>This Process depicts the receipt of an arrangement (Business Banking) account opening form from the SME customer along with an initial deposit. Successful opening of the account leads to associated sub processes viz., issue of debit card, cheque book issue, set up overdraft limit etc.</t>
  </si>
  <si>
    <t>This process describes the activities involved in creating a facility based on allowed products set. Facility arrangement details and payment method are captured based on the SME customer request. During the tenor of the facility, the agreed amount can be utilised by the SME customer by performing drawdown on the facility and creating loan arrangements.</t>
  </si>
  <si>
    <t>This process describes the activities involved in performing drawdown of a facility by creating loan arrangement under the facility based on allowed products set. A drawdown cannot be performed for a blocked facility or in case of insufficient funds. The SME customer is allowed to draw multiple times (within allowed facility limits) with each drawing having its own unique conditions. Loan arrangement details along with repayment method and disbursement type are captured based on SME customer request.</t>
  </si>
  <si>
    <t>Create and Disburse Business Banking Loan (BB)</t>
  </si>
  <si>
    <t>This process describes the activities involved in the disbursal of Business Banking loans. The limits are set up and loan arrangements created after necessary checks.</t>
  </si>
  <si>
    <t>This process depicts activities related to the repayment of a Business Banking loan either by cash or account transfer. Option to repay through payment order is possible for scheduled repayments.</t>
  </si>
  <si>
    <t>This process describes creation and funding of a fixed deposit/ bond.</t>
  </si>
  <si>
    <t>This process describes various activities associated with performing an early closure of a BB deposit.</t>
  </si>
  <si>
    <t>This process depicts activities related to repayment of BB deposit. In case a settlement account or beneficiary has been provided, transfer will happen automatically. Otherwise a manual repayment either through cash/ Funds Transfer mode needs to be executed.</t>
  </si>
  <si>
    <t>Receive and Execute Payment Request (NPP)</t>
  </si>
  <si>
    <t>This process describes the activities involved in receiving NPP (New Payments Platform) payment initiation from customer (remitter) or beneficiary's request for payment through CUSCAL. Necessary validations (e.g. Balance check) are performed before processing the remittance. If validations fail, the transaction is cancelled and notified. Upon successful validations, funds are blocked and message (pacs.008) is sent to Direct participant.</t>
  </si>
  <si>
    <t>Manage Loan Prepayments (BB) *</t>
  </si>
  <si>
    <t>Pay Off Loan (Pre-Closure) (BB) *</t>
  </si>
  <si>
    <t>Perform Loan Repayment (BB) *</t>
  </si>
  <si>
    <t>Manage Stock Borrow Lending *</t>
  </si>
  <si>
    <t>Generate Loan Statement</t>
  </si>
  <si>
    <t>This process describes the activities involved in the generation of a Ad-hoc loan statement based on a customer request.</t>
  </si>
  <si>
    <t>Execute Inward Credit Transfer (FedNow)</t>
  </si>
  <si>
    <t>3.4 Clearing and RTGS</t>
  </si>
  <si>
    <t>3.4.1 Africa</t>
  </si>
  <si>
    <t>3.4.1.1 SYGMA Payments</t>
  </si>
  <si>
    <t>3.4.1.2.1 SYSTAC Credit Transfers</t>
  </si>
  <si>
    <t>3.4.1.2.2 SYSTAC Direct Debits</t>
  </si>
  <si>
    <t>3.4.1.2.3 SYSTAC Cheque Clearing</t>
  </si>
  <si>
    <t>3.4.1.2 SYSTAC Payments</t>
  </si>
  <si>
    <t>3.4.1.3 SIBTEL Payments</t>
  </si>
  <si>
    <t>3.4.1.3.1 SIBTEL Credit Transfers</t>
  </si>
  <si>
    <t>3.4.1.3.2 SIBTEL Direct Debits</t>
  </si>
  <si>
    <t>3.4.1.3.3 SIBTEL Cheque Clearing</t>
  </si>
  <si>
    <t>3.4.2 Argentina</t>
  </si>
  <si>
    <t>3.4.2.1 COELSA Payments</t>
  </si>
  <si>
    <t>3.4.2.1.1 COELSA Domestic Payments</t>
  </si>
  <si>
    <t>3.4.2.1.2 COELSA Immediate Transfers</t>
  </si>
  <si>
    <t>3.4.2.1.3 COELSA Direct Debits</t>
  </si>
  <si>
    <t>3.4.3 Australia</t>
  </si>
  <si>
    <t>3.4.3.2 BECS Payments</t>
  </si>
  <si>
    <t>3.4.3.2.1 BECS Credit Transfers</t>
  </si>
  <si>
    <t>3.4.3.2.2 BECS Direct Debits</t>
  </si>
  <si>
    <t>3.4.3.3 NPP Payments</t>
  </si>
  <si>
    <t>3.4.4.1 Interac Payments</t>
  </si>
  <si>
    <t>3.4.4 Canada</t>
  </si>
  <si>
    <t>3.4.4.1.1 Interac Credit Transfers</t>
  </si>
  <si>
    <t>3.4.4.1.2 Interac Direct Debits</t>
  </si>
  <si>
    <t>3.4.5 Europe</t>
  </si>
  <si>
    <t>3.4.5.1 TIPS Payments</t>
  </si>
  <si>
    <t>3.4.5.2 InterGIRO2 Payments</t>
  </si>
  <si>
    <t>3.4.5.3 EQUENS Payments</t>
  </si>
  <si>
    <t>3.4.5.3.1 EQUENS Credit Transfers</t>
  </si>
  <si>
    <t>3.4.5.3.2 EQUENS Direct Debits</t>
  </si>
  <si>
    <t>3.4.5.3.3 EQUENS Instant Payments</t>
  </si>
  <si>
    <t>3.4.5.4 TARGET2 Payments</t>
  </si>
  <si>
    <t>3.4.5.4.1 TARGET2 Credit Transfers</t>
  </si>
  <si>
    <t>3.4.5.4.2 TARGET2 Direct Debits</t>
  </si>
  <si>
    <t>3.4.5.5 EBA Payments</t>
  </si>
  <si>
    <t>3.4.5.5.1 EBA Instant Payments</t>
  </si>
  <si>
    <t>3.4.5.6 SIC Payments</t>
  </si>
  <si>
    <t>3.4.5.7 SEPA Clearing</t>
  </si>
  <si>
    <t>3.4.5.7.1 SEPA Customer Transfers</t>
  </si>
  <si>
    <t>3.4.5.7.2 SEPA Direct Debits</t>
  </si>
  <si>
    <t>3.4.5.8 RPS SEPA Clearing</t>
  </si>
  <si>
    <t>3.4.5.9 German Cheque Clearing</t>
  </si>
  <si>
    <t>3.4.5.10 VIBER Payments</t>
  </si>
  <si>
    <t>3.4.5.11 MAV Payments</t>
  </si>
  <si>
    <t>3.4.5.12 Nordic Payments</t>
  </si>
  <si>
    <t>3.4.5.12.1 Nordic Credit Transfers</t>
  </si>
  <si>
    <t>3.4.5.12.2 Nordic Instant Payments</t>
  </si>
  <si>
    <t>3.4.5.13 Euro SIC Payments</t>
  </si>
  <si>
    <t>3.4.6 Hong Kong</t>
  </si>
  <si>
    <t>3.4.6.1 Hongkong Faster Payments</t>
  </si>
  <si>
    <t>3.4.6.2 Hongkong Cheque Clearing</t>
  </si>
  <si>
    <t>3.4.7 India</t>
  </si>
  <si>
    <t>3.4.7.1 RTGS Clearing</t>
  </si>
  <si>
    <t>3.4.7.2 NEFT Clearing</t>
  </si>
  <si>
    <t>3.4.8 Israel</t>
  </si>
  <si>
    <t>3.4.8.1 MASAV Payments</t>
  </si>
  <si>
    <t>3.4.9 Saudi Arabia</t>
  </si>
  <si>
    <t>3.4.9.1 SAIPS Payments</t>
  </si>
  <si>
    <t>Receive and Execute Instant Payments (SAIPS)</t>
  </si>
  <si>
    <t>Receive Response from Clearing (SAIPS)</t>
  </si>
  <si>
    <t>Execute Inward Credit Transfer (SAIPS)</t>
  </si>
  <si>
    <t>Process Reversal or Cancellation of Inward Remittance (SAIPS)</t>
  </si>
  <si>
    <t>This process describes the activities involved in execution of SAIPS Payments. Post validation, funds will be credited to the beneficiary account. If validation fails, transaction is manually repaired or cancelled and a cancellation message is sent to clearing.</t>
  </si>
  <si>
    <t>The process describes the activities involved in receiving reversal/ cancellation request for SAIPS payments. Based on the original transaction status, inward remittance is either cancelled or reversed.</t>
  </si>
  <si>
    <t>This process describes the activities involved in receiving SAIPS payments from customer. Necessary validations (e.g. duplicate check) are performed before processing the remittance. After processing, the payment is time stamped and sent to the Clearing. Incorrect payments are automatically cancelled and sent to the originator.</t>
  </si>
  <si>
    <t>3.4.9.2 SARIE Payments</t>
  </si>
  <si>
    <t xml:space="preserve">3.5 Request To Pay - Clearing
</t>
  </si>
  <si>
    <t>3.5.1 Europe</t>
  </si>
  <si>
    <t>3.5.2 Saudi Arabia</t>
  </si>
  <si>
    <t>3.5.2.1 Saudi Request to Pay</t>
  </si>
  <si>
    <t>3.5.3 United Kingdom</t>
  </si>
  <si>
    <t>3.5.3.1 United Kingdom Request To Pay</t>
  </si>
  <si>
    <t>3.3.4 Request To Pay</t>
  </si>
  <si>
    <t>3.4.3.1 BPAY Payments</t>
  </si>
  <si>
    <t>3.5.1.1 EBA Request To Pay</t>
  </si>
  <si>
    <t>Process Response Received for Recall of Outward Request To Pay *</t>
  </si>
  <si>
    <t>Process Reversal or Cancellation of Inward Remittance (FedNow)</t>
  </si>
  <si>
    <t>Receive and Execute Outward Remittance (FedNow)</t>
  </si>
  <si>
    <t>Add or Remove Party from Account (RDBS)</t>
  </si>
  <si>
    <t>Block or Unblock Funds in Account (RDBS)</t>
  </si>
  <si>
    <t>Change Interest Details (RDBS)</t>
  </si>
  <si>
    <t>Change Statement Frequency of Account (RDBS)</t>
  </si>
  <si>
    <t>Set or Remove Posting Restrict (RDBS)</t>
  </si>
  <si>
    <t>Credit or Debit Funds to an Account (RDBS)</t>
  </si>
  <si>
    <t>Perform Account Closure (RDBS)</t>
  </si>
  <si>
    <t>Open Account (RDBS)</t>
  </si>
  <si>
    <t>Change Account Status (RDBS)</t>
  </si>
  <si>
    <t>17.2 Retail Deposits Banking Service (RDBS)</t>
  </si>
  <si>
    <t>17.2.2 Term Deposits (RDBS)</t>
  </si>
  <si>
    <t>Add or Remove Party from Term Deposit (RDBS)</t>
  </si>
  <si>
    <t>This process describes the activities involved in adding or removing party from a term deposit.</t>
  </si>
  <si>
    <t>Block or Unblock Funds in Term Deposit (RDBS)</t>
  </si>
  <si>
    <t>Change Interest Payment Method and Frequency (RDBS)</t>
  </si>
  <si>
    <t>This process describes the activities involved in changing the Interest rate, Interest method and Interest payment frequency for a term deposit account</t>
  </si>
  <si>
    <t>Fund Term deposit (RDBS)</t>
  </si>
  <si>
    <t>This process describes the activities involved in crediting funds to a term deposit account.</t>
  </si>
  <si>
    <t>Open Term Deposit (RDBS)</t>
  </si>
  <si>
    <t>This Process describes the activities involved in opening a term deposit account.</t>
  </si>
  <si>
    <t>Perform Early Redemption of Term Deposit (RDBS)</t>
  </si>
  <si>
    <t>This process describes the activities involved in the early redemption of term deposit.</t>
  </si>
  <si>
    <t>Perform Manual Rollover of Term Deposit (RDBS)</t>
  </si>
  <si>
    <t>This process describes the activities involved in the manual rollover of Term deposits.</t>
  </si>
  <si>
    <t>Perform Partial Withdrawal of Term Deposit (RDBS)</t>
  </si>
  <si>
    <t>Perform Settlement of Term Deposit on Maturity (RDBS)</t>
  </si>
  <si>
    <t>Set or Remove Posting Restrict to Term Deposit (RDBS)</t>
  </si>
  <si>
    <t>This process describes the activities involved in adding or removing posting restrictions for debit/ credit transactions to a Term deposit account.</t>
  </si>
  <si>
    <t>Update Settlement Account for Term Deposit (RDBS)</t>
  </si>
  <si>
    <t>17.2.1 Accounts (RDBS)</t>
  </si>
  <si>
    <t>This process describes the activities involved in adjustment of Bill of Entry amount in part or full under pre-defined conditions provided by RBI. Adjustment is an option available for closure of Bill of Entry for reasons other than settlement against outward remittances.</t>
  </si>
  <si>
    <t>This process describes the activities involved in amending Advance Payment Export Trade. An Internal amendment is executed for rectification of erroneous entries during lodging of export documents. These amendments need not be communicated to the beneficiary.</t>
  </si>
  <si>
    <t>This process describes the activities involved in amending Advance Payment Import Trade. An Internal amendment is executed for rectification of erroneous entries during lodging of import documents. These amendments need not be communicated to the beneficiary.</t>
  </si>
  <si>
    <t>This process describes the activities involved in the amendment of facility amount based on customer request. BNPL service offers to increase or decrease facility amounts for an existing BNPL customer. The customer can request the BNPL provider for an increase or decrease in the facility amount. Based on the customer's creditworthiness and financial history analysis, the BNPL provider decides whether to approve the facility modification request.</t>
  </si>
  <si>
    <t>This process describes the activities involved in amending an existing facility arrangement account as requested by a customer. The following amendments are allowed in a facility arrangement. - Inclusion/ removal of allowed products (drawing) - Renegotiate Arrangement - Update Account Details and Posting Restrictions - Adjust Balances and Bills - Change Customer - Change Charges - Change Interest - Update Limit Link</t>
  </si>
  <si>
    <t>This process describes the activities involved in amending an existing facility arrangement account as requested by a customer. The following amendments are allowed in a facility arrangement. - Inclusion/ removal of allowed products (drawing) - Renegotiate Arrangement - Update Account Details and Posting Restrictions - Adjust Balances and Bills - Change Customer - Change Charges - Change/ Capitalise Interest - Update Limit Link</t>
  </si>
  <si>
    <t>This process describes the activities involved in amending Open Account Export Trade. An Internal amendment is executed for rectification of erroneous entries during lodging of export documents. These amendments need not be communicated to the beneficiary.</t>
  </si>
  <si>
    <t>This process describes the activities involved in amending Open Account Import Trade. An Internal amendment is executed for rectification of erroneous entries during lodging of import documents. These amendments need not be communicated to the beneficiary.</t>
  </si>
  <si>
    <t>This Process describes blocking and unblocking of funds for an account, for a specific period or amount. Reservation of funds can be done either for an account or for all linked accounts in a balance netting pool based on Account Link. Account Link is set while defining locked event types in AC.LOCKED.EVENT.TYPE and the locked type used while blocking funds decides if reservation is done only for the transaction account (TR) in a balance netting pool or for all linked accounts.</t>
  </si>
  <si>
    <t>This process describes the activities involved in blocking of funds for a specific period and amount or unblocking of funds for an account.</t>
  </si>
  <si>
    <t>The process describes activities for converting a Bilateral facility to Syndicated facility or vice versa by trading non-contingent portion of the facility. Bilateral Facility can be converted into a Syndicated facility by trading contingent or non-contingent portion of the facility to new participants. Syndicated facility can be converted into a Bilateral Facility by trading all contingent and non-contingent portion under the facility such that own bank holds the entire portion (100% share).</t>
  </si>
  <si>
    <t>The process begins with the receipt of request from a Customer, for purchase of Foreign Currency Cash by the bank (Customer sells FCY/ Bank purchases FCY). The request is validated and the exchange rate is confirmed to the Customer.</t>
  </si>
  <si>
    <t>The process begins with the receipt of request from a Customer, for sale of Foreign Currency Cash by the bank (Bank sells FCY/ Customer purchases FCY). The request is validated and the exchange rate is confirmed to the Customer.</t>
  </si>
  <si>
    <t>This process involves a Teller accepting cash and exchanging it for different denominations.</t>
  </si>
  <si>
    <t>This process describes the activities involved in changing Interest rate, Interest method and Interest payment frequency for an account.</t>
  </si>
  <si>
    <t>This process describes the activities relating to closure of the loan at the expiry of loan term, checking for over dues if any, delinking the collateral and release of collateral documents.</t>
  </si>
  <si>
    <t>This process describes the activities where a bank can act as broker only for transactions in specific portfolios. On execution confirmation from the external broker, system will create two trades. The first trade (Trade 1) will be between the customer and the bank, where bank acts as an intermediate broker and a second trade (Trade 2) between bank and the external broker, where bank acts an intermediate customer. MT541/ MT543/ sese.023 (MX message) is sent to settle a transaction with the Client's/ Broker's custodian. Separate settlement records created on receiving confirmation from custodian. The first settlement record is for the bank to settle with the client and the second settlement record is for the bank to settle with the external broker.</t>
  </si>
  <si>
    <t>Aggregation can be set for Parent/Child trades. In the case of Parent Child Trades, for Parent Trades Broker side will be aggregated. Aggregated MT515 message will be received, matched and reconciled and aggregated Settlement message (MT54X) will be sent to the Depository. During the process system would authorise the underlying trades before sending aggregated settlement message. The MT54X message will be suppressed in the Parent Trade. All Parent Trades with same Depository will be aggregated and single MT54X will be sent to the Parent Depository from SP.RECONCILIATION record. All Child Trades with same CU. DEPOSITORY will be aggregated and separate MT54X will be sent to the Cu.Depository (Sub-account). It is also possible to aggregate the Nostro posting and send a consolidated MT518. If this is required for a Broker, then the field NOSTRO.AGGREGATION in CUSTOMER.SECURITY has to be set. In the parameter SC.STD.SEC.TRADE, a synthetic portfolio should be set in the field AGGR.SYN.PORT and a Suspense account category should be set in AGGR.SUSP.CAT. In this case, once a Trade is created for a Broker with Nostro Aggregation set, system would default the Synthetic account on the Broker side instead of the Nostro. Simultaneously, system would create another Aggregated Trade on IHLD. The Aggregated trade will have the Synthetic Portfolio and Synthetic Account on the Customer Side and the Street Side Broker and Nostro account on the Broker side. Every time a new Trade is created for the Broker, system would update the total Nominals and Average Price in the Aggregated Trade. At the Cut-off time, a service would authorise the Aggregated trade and trigger a consolidated MT518 from that trade. Consolidated Nostro entry would also be posted. If the Underlying Broker trades are not authorised at this stage, system would automatically authorise them. If aggregation is based on Broker and Stock Exchange, then the cut-off time will be taken from the Stock Exchange. If aggregation is set only at Broker level, cut off time will be the time set in field MT515.CUT.OFF.TIME in CUSTOMER.SECURITY. If Settlement aggregation is set, then the MT54X settlement message will be sent on authorisation of the Aggregated Trade. The Settlement message will be sent from the SP.RECONCILIATION record as explained in Note1 above. The aggregated Trade can also be manually authorised by the User.</t>
  </si>
  <si>
    <t>This Process describes the parameterizations required for Fixed Asset Lifecycle Management. Fixed Asset Classification enables banks to group their fixed assets according to their characteristic's nature, purpose and depreciation requirements. Asset class is a high level grouping of fixed assets. Asset Type is a sub-classification of assets which are in-turn mapped to asset entities/ operational units.</t>
  </si>
  <si>
    <t>The process describes the activities to be taken to correct a wrong Trade. This could either be a cancellation/ reversal of the Trade or just amending certain fields before settlement.</t>
  </si>
  <si>
    <t>This process describes the activities involved in the creation and activation of Suspicious Activity Prevention (SAP) Batch Rules. Batch rules are designed to check for red flags that might indicate fraudulent cases like account take over. Alerts can also be blocked based on rule setup.</t>
  </si>
  <si>
    <t>This process describes the activities that allows user to create Suspicious Activity Prevention (SAP) rules. Two types of rules can be defined Rules on transaction: which are checked on a transaction basis. These rules compare transaction amount against a reference value or a value calculated from profile(s) Rules on profile: which are checked on a daily basis. These rules compared value calculated from profile(s) against a reference value.</t>
  </si>
  <si>
    <t>This process describes the activities to Create, Authorise and Disburse a Loan in Argentina, including taxes collection if applicable.</t>
  </si>
  <si>
    <t>This process describes the activities involved in creating and managing Qualified Intermediary Customer (QCSI) Supplementary Information. Qualified Intermediary record is created automatically based on parameter setup and mapping rules defined. QI status will be updated automatically based on customer documents submitted in case of individuals and entities. Portfolio details can be amended for a QI Customer Supplementary Information (QCSI) record upon submission of related transaction documents.</t>
  </si>
  <si>
    <t>The process describes the activities involved in the creation of a Customer relationship group and subsequent updation of Customer relationship details from the core banking solution to FCM.</t>
  </si>
  <si>
    <t>This process describes the activities involved in creating a Corporate Customer in UK. Front Office receives the customer's request and checks for UK residency and availability of NINO (National Insurance Number). UK specific BOE Sector, Industry and SIC Codes are obtained and captured in addition to NINO. FSCS eligibility is also captured before continuing with AML and KYC checks.</t>
  </si>
  <si>
    <t>This process describes the activities involved in the creation of a Currency Override via TAP. The override created, based on the applicability, will be applied when a portfolio is rebalanced.</t>
  </si>
  <si>
    <t>This process describes the activities for creating a SME Customer.</t>
  </si>
  <si>
    <t>This process describes activities involved in creating a dashboard in FCM Knowledge Management. Data can be represented either as a chart or as a list in the Dashboard. User can create several dashboards and share them with other users.</t>
  </si>
  <si>
    <t>Fund Switch provides ability to transfer investment from one fund to another. As per the investor's need, the switch can be within the same fund family (Intra fund - having the same investment objectives), or among different families (Inter fund - having different objectives). Fund Switch supports compound order mechanism where exchange of investment can be performed across multiple legs (one to one, one to many, many to one, many to many). This process describes the activities involved in Capturing a Fund Switch Order, performing compliance checks and moving the order for processing.</t>
  </si>
  <si>
    <t>This process describes the activities involved in creating a Customer in UK region. Front Office receives the customer's request and checks for UK residency and availability of NINO (National Insurance Number). FSCS eligibility is captured while capturing customer details.</t>
  </si>
  <si>
    <t>This process describes the activities for setting up a product group under a product line. The Product Build set up under Arrangement Architecture is hierarchical and allows the derivation of product structures from higher levels. For example, a Product (e.g. 15 year Fixed Rate Mortgage) will be derived from a Product Group (e.g. Mortgages), which will be derived from a Product Line (e.g. Lending). In addition to this structural hierarchy, the Product Builder enables the definition of “families” of products through Product Inheritance. The purpose of a Product Group is to provide a structure and constraints to any product derived from the group. The same process can be used for amending the product group.</t>
  </si>
  <si>
    <t>This process describes User initiation of a new term deposit request through online channels. Funding of the deposit can be done during deposit creation or before a fixed number of days defined in cancel period, failing which system will automatically cancel the deposit.</t>
  </si>
  <si>
    <t>In this process the general rules for maintaining the accounting policies such as the value date/ trade date, accrual, currency position etc., are described.</t>
  </si>
  <si>
    <t>This process describes the activities involved in defining and maintaining Tax Exemption framework. Exemptions can be defined for specific ARMB products/ activities in which different taxes can be collected. In addition, it is possible to consider certain rules for exemption, such as, when the owner of the accounts involved in a transfer is the same. The process also involves easing out parameterization by associating Bank's customized products, activities and properties with ARMB products, core activities and properties.</t>
  </si>
  <si>
    <t>This process describes the activities involved in defining and maintaining Tax Exemption framework. The exemptions can be defined for specific PEMB products or specific activities in which the ITF tax can be collected. In addition it is possible to consider certain rules for exemption, such as, when the owner of the accounts involved in a transfer is the same. The process also involves easing out parameterization by associating Bank's customized products and customized activities with PEMB products and core activities.</t>
  </si>
  <si>
    <t>This Process details out the steps involved in defining a new Global Campaign Profile. Global Campaign Profiles allow the Bank to filter its Customers by criteria that applies to all Campaigns. For Example: A Global Campaign Profile can be set to restrict maximum number of Campaigns that are sent to a Customer for a specific Product. Global Campaign Profiles are evaluated according to the processing order set in the Global Details Record, after the Global Exclusion Profiles are evaluated and after the confirmation that there are Running Campaigns at the moment the evaluation is received.</t>
  </si>
  <si>
    <t>This Process details out the steps involved in defining a new Global Details Record. Global Details Record is a combination of all active Global Exclusion Profiles and Global Campaign Profiles. Once a Campaign is executed the Customers of the Bank are filtered by the conditions added in the Profiles. Global Details Record improves segmentation of the Target Audience for Marketing Campaigns.</t>
  </si>
  <si>
    <t>This Process details out the steps involved in defining a new Offline Channel. An Offline Channel doesn't require the immediate attention of the receiver. The message is send and the receiver can see the message at a later point in time. Example: for Email Channel, if a Campaign is triggered by an Event, the Email is send but the Customer can read the Email at a later point in time. Offline Channels are defined in the Campaign Administration User Agent Interface and configured in UXP. The Campaign Administration User Agent Interface allows generation of a new UXP Project Template that can be used to configure new Offline Channels. Once configured, the Admin user can create a new Offline Channel in the Campaign Administration User Agent Interface.</t>
  </si>
  <si>
    <t>This process describes the steps involved in flagging or unflagging data as personal data under Customer Data Protection. Data held in core/ local reference fields of any application can be flagged as personal data and attributes, purpose, accessibility and erasure rule defined for the same. The initial classification of data as personal data can also be unflagged as personal data.</t>
  </si>
  <si>
    <t>This Process details out the steps involved in defining a new Reusable Resource. Reusable Resources are the output content for Online Channels that can be shared by different users. An Online Channel requires the immediate attention of the receiver. The message is send and the receiver sees the message immediately. For example: for Online Channels, if a Campaign is triggered, then a message will be injected into the Online Channel and the Customer will be able to see it immediately.</t>
  </si>
  <si>
    <t>This process describes the activities involved in the disbursement of the requested loan amount when the goods are ready for shipping.</t>
  </si>
  <si>
    <t>This process describes the activities involved in prioritizing alert processing based on watch list entries. List of alerts available for analysis is displayed in the main screen of Transaction Alert manager and field "Interdict Hit list" allows the users to choose watch list items for which action needs to be taken on priority.</t>
  </si>
  <si>
    <t>This process describes the activities involved in evaluation of Suspicious Activity Prevention (SAP) alerts. It is a real-time, online transaction monitoring solution, which builds user and customer profiles to detect and stop suspicious transactions</t>
  </si>
  <si>
    <t>The process describes activities associated with the execution of an outward direct debit mandate. On the claim date, system automatically generates and sends the Claim file to payment system.</t>
  </si>
  <si>
    <t>This processes explains execution of Parent Orders which in turn executes underlying child orders. This process also explains - Amendment to Parent transactions and ensure that the amendment is automatically updated in all Child transactions - Bulk authorisation of Child transactions when Parent transaction is authorised - Deletion/ replacement of Parent Child transactions</t>
  </si>
  <si>
    <t>The process describes the activities involved in processing of cancellation/ call back of outward remittance at the back office. The cancellation will be taken up after receiving a confirmation of the cancellation. If the cancellation request is rejected this will be monitored.</t>
  </si>
  <si>
    <t>This process describes the activities involved in processing inward credit cancellation request from Hongkong Faster clearing. Post validation, the beneficiary of inward credit is debited and the message sent to clearing. The cancellation request is rejected in case the request is received after cancel acceptance days.</t>
  </si>
  <si>
    <t>This process describes the activities involved in processing TARGET2 cancellation request (e.g. camt.056) from the remitting bank for a remittance sent by them. The return is processed if the request is matched (manually or automatically) with the original transaction else the request is rejected and a cancellation message (camt.029) sent.</t>
  </si>
  <si>
    <t>The process describes activities associated with the creation and execution of an outward direct debit mandate. On the claim date, system automatically generates and sends the Claim file to TPH. OFF-US the claim will be sent to clearing and Accounting/Settlement entries will be posted if claim is honored by debtor bank. ON-US Claims will be honored or returned to the customer based on direct debit validation.</t>
  </si>
  <si>
    <t>This process describes the activities involved in executing a return request from SLIPS (Sri Lanka Inter-bank Payment System) clearing for a settled Outward Direct Debit. Necessary validations (e.g. Identifying Original transaction) are done before processing the return request. Post validation, Creditor account will be debited and the amount posted to clearing account. If a payment is incorrect it can be repaired or rejected by an operator.</t>
  </si>
  <si>
    <t>This process describes the activities involved in execution of Inward Credit transfer (Faster). Investigation message is sent to clearing if the message received is a repeat message else, the message is validated and payment credited to the beneficiary's account. A cancellation message is sent to clearing when the message received fails validation.</t>
  </si>
  <si>
    <t>This process describes the activities of receiving and validating inward credit transfer (pacs.008). If the credit confirmation is received, the customer account is credited. Once the transfer is processed successfully Credit acknowledgment is sent to clearing. If a payment is incorrect it will be rejected.</t>
  </si>
  <si>
    <t>This process describes the activities for the execution of inward Srilankan RTGS credit transfer. Post validation, funds are credited to the beneficiary. If a payment is incorrect, it can be manually repaired or cancelled.</t>
  </si>
  <si>
    <t>This process describes the activities involved in execution of Instant Payments. Post validations, the funds are credited to the beneficiary account.</t>
  </si>
  <si>
    <t>This process describes the activities involved in executing Inward credit transfer requests from Indirect Participant. The payment request will be processed if the creditor is within the same bank else will be forwarded to Clearing or Creditor's bank, based on Creditor's bank nostro availability.</t>
  </si>
  <si>
    <t>This process describes the transfer of funds into ISA/JISA accounts without affecting the current year subscription balance. This is used for movement of funds between ISA products owned by the same customer.</t>
  </si>
  <si>
    <t>The process begins with the receipt of outward collection request from the customer. Necessary validations (e.g. duplicate check) are done before processing. The request will be sent to Clearing.</t>
  </si>
  <si>
    <t>This process describes the activities involved in execution of 'electronically' received credit transfer requests in favour of (3rd party) clients, which will be redirected accordingly. Post validation, necessary entries are raised and claim is sent if the charges due from sender are more than the amount indicated. Incorrect payments are manually cancelled or repaired by the operator.</t>
  </si>
  <si>
    <t>This process describes capturing of a Forex deal in the system and providing trade data to back office for further processing. Details of Legal Entity details with their status and Expiry date is captured in LE.DIRECTORY. The logic to identify transactions that are in scope of MIFID II is defined in LE.ELIGIBILITY.PARAM. System enables the LEI/NCI checks for those qualifying transactions with Override/Error check. Legal Entity ID/ National Client ID is captured while creating OC.CUSTOMER. While executing a Trade, the LEI check is initiated during transaction commit and override/error triggered where LEI or NCI for the parties to the transaction are not available or conditions not being met.</t>
  </si>
  <si>
    <t>This process describes the capturing of SWAP deal data in the system and providing trade data to back office for further processing. Details of Legal Entity details with their status and Expiry date is captured in LE.DIRECTORY. The logic to identify transactions that are in scope of MIFID II is defined in LE.ELIGIBILITY.PARAM. System enables the LEI/NCI checks for those qualifying transactions with Override/Error check. Legal Entity ID/ National Client ID is captured while creating OC.CUSTOMER. While executing a Trade, the LEI check is initiated during transaction commit and override/error triggered where LEI or NCI for the parties to the transaction are not available or conditions not being met.</t>
  </si>
  <si>
    <t>The process is triggered when the customer requests for exercising the option or where counterparty informs about an assignment. The option is exercised/ assigned and Transact creates a closeout record. On committing the closeout record, system creates Trades on exercise. System can also be parameterised to automatically exercise an Option if predefined conditions are met. On exercising equity option with physical settlement, settlement can be done using an alternate instrument if the same is defined in the contract master. Its contract size and price needs to be entered during closeout process. System also supports cash payout for equity options when SETTLEMENT.METHOD is set to physical or cash respectively. The positions are also updated in TAP.</t>
  </si>
  <si>
    <t>This process describes handling of a customer request for an account statement (Current period/ Past period /Ad-hoc).</t>
  </si>
  <si>
    <t>This process describes the activities involved in creation of an e-FIRC (Electronic Foreign Inward Remittance Certificate) when a foreign remittance is received by the Bank. E-FIRC denotes Inward remittances that are received by the Bank, while the documents related to the Export transaction are submitted in a different Bank. This process describes the generation of FIRC and transmission of the FIRC details to EDPMS system. This process also describes the steps involved in the cancellation of e-FIRC transmitted to EDPMS system.</t>
  </si>
  <si>
    <t>This process describes the activities involved in the generation of Skip quality report and analysing the report.</t>
  </si>
  <si>
    <t>This process describes the activities involved in "Hold and Release" of settlement instruction. As per Central Securities Depository Regulation (CSDR), instruction 'on hold' will undergo matching process but is not eligible for settlement until both parties have released their respective settlement instructions. Hold and release of settlement instruction is managed via SC.INST.HOLD.REL application. Hold and release settlement instruction can be sent from instructing party to executing party via MT530 or MT540-43, based on configuration done in the Securities Parameter file. The transaction is ready for settlement when both parties release settlement instruction. Hold and release of settlement instruction could happen multiple times during the settlement life cycle.</t>
  </si>
  <si>
    <t>Accumulators are structured products that allow investors to purchase shares at a pre-determined strike price, which is at a discount to the current stock price. An investor accumulates, a fixed quantity of an underlying share at the strike price, on each trading day of the investment period. Accumulators are usually structured with a knock-out feature. This means that the accumulator will be terminated when the price of the underlying share closes at or above a pre-determined barrier price also known as knock-out price which is followed by a knock out event. Accrual of shares on a daily basis will be settled on Pre determined settlement dates. Decumulators on the other hand, are structured products that allow investors to sell a fixed quantity of an underlying share at a pre-determined strike price, on each trading day of the investment period. This forward price is set at a premium to the initial spot price of the underlying share. Decumulators also work similar to Accumulators with knock-out feature.</t>
  </si>
  <si>
    <t>This process describes the steps involved in straight through processing for a cheque book request, initiated from Online Channels. On receiving the request Transact checks if stock entry is available for the account. Cheque book will be issued instantly, if request is from an account for which Stock Entry with balance is available in Stock Register. If the cheque book request is from an account for which stock entry is not available, Transact creates the stock entries, updates the register and then issues the cheque book.</t>
  </si>
  <si>
    <t>This process covers the initiation of Digital Invest and Digital Paid Out. Digital Investment is a Digital Option covered by an Underlying Deposit. There are barriers set and a maximum and minimum interest rate that the customer can receive on the deposit. Depending on whether the Barrier is breached or not, customer can get the Maximum interest or just the minimum interest. Digital Investment gives an investor the possibility to profit from an exchange rate expectation by achieving a higher return than a conventional time deposit. A Digital Paid-out is similar to Digital investment except that there is no Underlying Deposit. Only the Interest (either maximum or minimum) is paid out. It involves purchase of a digital option with interest pay out without underlying deposit. For Digital Paid-out, the payoff will be the interest amount (either minimum or maximum) which depending on the digital option. Settlement will be the interest amount only.</t>
  </si>
  <si>
    <t>The DCI combines a traditional money market investment with an option on currency pairs or precious metals. The investor agrees on a Strike Price together with the alternative currency/ precious metal. On maturity, the bank will repay the principal with interest or principal with interest in the alternate currency (at the Strike Price), depending on how the currency pair moves. In brief, a DCI/PMI is a combination of a long position in the invested currency/precious metal and a short position in a call option on the invested currency/ precious metal (versus the alternate currency). TCI combines a money market investment with the sale of a triple currency call option on the principal currency against two different alternative currencies. The option premium received enables the TCI to offer a higher interest rate than a regular money market instrument or a DCI on the individual currency pair. Depending on the exchange rate of each of the alternative currencies against the principal currency on expiry, the initial investment is paid back to the investor with interest in the principal currency or one of the alternative currencies. If payment is made in an alternative currency, the amount to be paid out is converted at the corresponding strike rate. This process also covers the two variants of DCI/ TCI namely the Dealer book Model and Transaction Model. In Dealer Book Model, Bank is one of the party to the transaction whereas in the Transaction Model, Bank plays the role of an Agent between the Customer and Counter party.</t>
  </si>
  <si>
    <t>This process covers the TARKO, which is an OTC contract which is similar to the Participating Forward. The only difference is that the Knock Out barrier is not an exchange rate but rather the intrinsic value of the accumulated profits. In other words, the contract will get Knocked out if the intrinsic value of the accumulated profits reaches a pre-determined amount. This process also covers the two variants of FX Forwards/ TARKO namely the Dealer book Model and Transaction Model. In Dealer Book Model, Bank is one of the party to the transaction whereas in the Transaction Model, Bank plays the role of an Agent between the Customer and Counterparty.</t>
  </si>
  <si>
    <t>This process describes capturing of Inter-fund switch order (switching between funds of different fund houses) details in Transact based on the type of switch (Buy-driven or Sell-driven). In Inter-fund switch Order, Redemption and Subscription orders are processed separately i.e. each individual order in the Switch is transmitted and executed separately. Master order gets transmitted as a single switch message with all orders in the switch having a common switch reference. For Sell-driven switch, subscription orders are sent to Fund House (transmitted) only after the execution of Redemption Order and vice versa for Buy-driven switch. Inter-fund switch orders (subscription (Switch In) and redemption (Switch Out) are handled as per the standard redemption and subscription functionality. Partial switch can involve switching to multiple funds (e.g. one part of the holdings to Fund 1, another part to Fund 2) besides retaining a portion as cash.</t>
  </si>
  <si>
    <t>This process describes the steps involved in capturing IPO order details. Once the order details are captured in Transact, the same is available for execution. IPO orders are for securities that are listed for IPO processing. Security Master application holds the details of Subscription Period, Lot Size, Minimum Offer Price, Maximum Offer Price, Type of Issue (Single Bid or Book building), Allotment Date, Listing Date and Refund date of IPO Security; these details are validated during Order Capture.</t>
  </si>
  <si>
    <t>This process describes the activities involved in manually initiating Liquidity Transfer Requests (LTR). Liquidity Transfer is balance transfer between settlement accounts of the bank within account holding institution (TARGET2), or from/ to its indirect Participant or from/ to other participant's settlement account within same liquidity group. After successful validation, the accounting entries are raised and camt.050 or pacs.009 message is generated.</t>
  </si>
  <si>
    <t>This process describes activities involved in capturing and validation of Structured products and derivative orders on the selected methods like Dual Currency investment / Triple Currency Investment, Accumulator / Decumulator and Forwards / Target knockout. Post validation the order details are published for execution.</t>
  </si>
  <si>
    <t>Process is for creation/ amendment or reversal of journal entries (examples: purchase of assets, depreciation entries etc.) either through data capture or through funds transfer.</t>
  </si>
  <si>
    <t>This process describes Debit card issue as part of account opening or on receipt of an adhoc request.</t>
  </si>
  <si>
    <t>Reward arrangement will hold a link to all linked financial arrangements. Activities performed on the account will trigger points which get accumulated and can be redeemed in the future.</t>
  </si>
  <si>
    <t>This process describes the activities of Invocation claim and settlement available for Guarantees Received (CL type of guarantees in the system) by an Online Channels user.</t>
  </si>
  <si>
    <t>This process describes the steps involved in a Branch User/Manager logging into TCUA and performing activities (Create/ Manage/ Authorise Customer Profile, Direct User, Indirect User, Role) as an User Administrator.</t>
  </si>
  <si>
    <t>Process for maintaining parameters for contract based applications like LD, PD, SL and also for Bills and MD.</t>
  </si>
  <si>
    <t>Process for maintaining the category codes, transaction codes, special transaction codes and internal accounts definition.</t>
  </si>
  <si>
    <t>This process describes the activities involved in definition of category codes, transaction codes, special transaction codes and internal accounts.</t>
  </si>
  <si>
    <t>This process depicts the activities involved in maintaining the Bank related parameters which include maintaining the Company parameters, language(s), countries, country group and holiday list.</t>
  </si>
  <si>
    <t>The recommended list of securities is provided by investment analyst. Recommendations can be maintained in Transact and will be considered e.g. for Rebalancing, …</t>
  </si>
  <si>
    <t>This process describes activities involved in issuing a cheque, stopping cheque payment or viewing cheque issued details by Retail customer. Through this process, Issued Cheques can be viewed or a new cheque book request can be initiated or cheque payment can be stopped.</t>
  </si>
  <si>
    <t>The process describes the activities involved in the management of the configuration pack. Configuration Management feature allows users to import or export FCM's active configuration data as a JSON file and manage it through a Graphical User Interface (GUI). To import the configuration pack, the user must submit an apply request which follows the four-eye principle before getting replicated in the requester system.</t>
  </si>
  <si>
    <t>This process describes the steps involved in capturing, through online channels, Customer's consent for using his personal data. The purpose of using one's personal data for specific tasks/ types (e.g.: direct marketing, data profiling, loan credit check, etc.) is displayed and the user can manage his personal data consent by giving/ removing the consent for a specific purpose. Only the consent types that are not expired will be displayed and those that are temporarily blocked by bank can only be viewed.</t>
  </si>
  <si>
    <t>This process describes the activities involved in an Off-market buyback event through which clients can tender their holdings to the issuer. This is a Voluntary Event where the clients can tender their holdings with multiple options with varying discount percentages. Minimum price, Smallholding and Maximum Price for Buyback are captured in DIARY from event announcement. All clients holding position against this Event Security becomes eligible to tender. When the client holdings are less than the quantity specified in Small Holdings, the restriction is in place for the customer to tender only in one option. Clients can choose to tender their shares (partly or fully) under the various options by specifying the quantity to tender against each option and respective positions are blocked post-election. The buyback price for an off-market tender would generally be at discount to the final market price as on the election cut-off date. Accepted quantity for buyback for each entitlement is updated. There is a possibility of a scale back (i.e. the tender not being accepted) if the event is oversubscribed. The cash equivalent is credited to the shareholders' account at the end of the event if the tender were successful.</t>
  </si>
  <si>
    <t>This process describes the activities involved in Rights Offering. A company can seek to increase its capital by issuing new securities. Rights to buy the new securities are issued to existing shareholders of the company thereby giving them a chance to maintain their stake in the company and prevent stock dilution. This will be a voluntary event where the client can elect any of the available options. The options generally available to exercise are Buying, Selling or Over subscribing. Rights issue will lapse when options are not exercised within the specified deadline. Clients can exercise his rights multiple times until the quantity set or deadline is reached. Additional Rights purchased can be exercised along with elected nominal in Entitlement. If retail premium is available and Rights security is due to lapse, then the amount will be calculated with the lapsing nominal and credited to the client.</t>
  </si>
  <si>
    <t>This process describes the activities involved in a Takeover event through which customers can tender their holdings to the issuer. This is a Voluntary Event where the Customer can tender their holdings multiple times within the specific period. Prices for takeover is captured in DIARY. Holdings as on EX-Date of the event becomes eligible for tender. Clients can choose to tender their shares (partly or fully) by specifying the quantity to tender against their eligible holdings. The cash equivalent is credited to the shareholder's account at the end of the event when the tender is successful. In case of multiple settlement, the client account will be credited with cash equivalent of the shares tendered.</t>
  </si>
  <si>
    <t>This process illustrates checking and validating Customer's existence in the system. For new customers, a customer record is created and for existing customer, cross-selling opportunities are checked. The Customer on boarding feature enables the user to choose the activity to be performed based on the status of the Customer (existing or new). Third party details are updated for Individuals acting on behalf of existing Customer.</t>
  </si>
  <si>
    <t>This process begins with Front Office user checking on the customer's request and validating if the customer is already registered in the system. New customers will be recorded as prospects before continuing with AML and KYC check. Existing customer's records will be checked for cross-selling opportunities and verified if background checks or record updates are required.</t>
  </si>
  <si>
    <t>Relationship Managers will initiate a client on-boarding process where they capture prospect data. This data is subsequently validated by the supervisor. Once approved the RM will complete the prospect record and initiate the required background checks. If the prospect or customer already exists, a handover is performed.</t>
  </si>
  <si>
    <t>Front Office user checks on the customer's request and validate his existence in the system. New customers will be recorded as prospects before continuing with AML and KYC check. Existing customer's records will be checked for cross-selling opportunities and verified if background checks or record updates are required. The Customer on boarding feature enables the user to choose the activity to be performed based on the status of the prospect/ Customer (existing or new).</t>
  </si>
  <si>
    <t>Corporate action for Structured Products, on processing, will not result in a cash movement or securities movement but changes the trade economic factors. Examples include change in Strike price of a structure or an option. There are 3 types of information that can undergo a change as a result of a corporate action on the underlying equity. - Price (Strike Price, Knock out price, Kick in price, etc.) - Quantity (Total Units, Accrued Units, Lot Size etc.) - Security (Underlying Security). There are numerous variants of structured products, and the economic factors for each variant might be different. For example, A Dual Strike Accumulator, will have 2 Strike prices in the term sheet, both of them likely to be impacted by a corporate action on the underlying equity. Another variant of an accumulator could have a kick in feature in the term sheet. The elements applicable to each structure and the type of element, needs to be defined in respective Product Definition records. The application SY.DIARY will be used to process the corporate action on the underlying security. When a corporate action is processed through this application, it would generate entitlement records for the affected contracts. After the user has reviewed the changes and authorizes the same, the structured products contracts are updated with the new (changed) terms.</t>
  </si>
  <si>
    <t>This Process describes the steps to be performed on receiving a loan prepayment request from SME customer.</t>
  </si>
  <si>
    <t>This process describes the activities of viewing through online banking channels, the loan details, its payment schedule and the list of transactions pertaining to the loan.</t>
  </si>
  <si>
    <t>Bulk Orders with Multiple Customers can be separated into Customer Side and Market side such that any amendment or cancellation of one side does not impact the other. Security Orders can be created as Parent Child Orders where Parent Order will hold the Broker (Market) side and the Child Orders will hold each Customer's side. The Parent Child Orders are linked by a common Reference. The Parent child separation continues into Execution and Trade creation. The separation of an Order into Broker side and Customer sides can also be done at the time of execution. In this case, system would create separate trades – a Parent trade for the Broker side and child trades for each of the Customers. This functionality will make it possible for users to amend/cancel one or more Client legs of an Order/ Trade without impacting the Market side and vice-versa.</t>
  </si>
  <si>
    <t>This process describes the steps involved in handling Confirmation cancellation messages (setr.047 and setr.051) from broker/ transfer agent and informing the same to institutional clients. Confirmation cancellation messages (setr.047 and setr.051) are updated in the order log (SC.ORD.INSTR.LOG) and details forwarded to institutional clients based on the order status. For orders, pending execution, the execution details are deleted manually and on receipt of amendment (setr.012), the system automatically completes the order execution. For orders, in trade pending stage, the user updates execution details manually once amendment (setr.012) received. For orders, in trade-authorised stage, the user reverses the current trade and rebook a new trade on receipt of amendment (setr.012).</t>
  </si>
  <si>
    <t>This process describes activities involved in managing the Personal Assets (Shared / Non-Shared) that are held outside the Bank's books. Based on advisors/ client request these assets can be included for Valuation or Capital Gain Calculations. No accounting entries are raised for any Personal Asset Transaction. Transactions such as Buy/ Write-In, Sale/ Write-Out, Update Price/Value, Insurance Bond Contribution, Insurance Bond Withdrawal and Maturity can be performed on any Personal Asset.</t>
  </si>
  <si>
    <t>Following events will be triggered in the Accu/Decu Product life cycle. Accrual: Daily accrual of units will be triggered in COB and the details of the units accrued and the price at accrual will be updated. Fixing: Fixing will be done based on the fixing frequency. During Fixing, based on calculation system will partially exercise the option and create a Sec Trade record. Knock Out: Based on KNOCK.OUT field and Minimum Accrual period system will partially exercise the option trade for the accrued nominal. Sec Trade will be created for the accrued nominal and remaining lots will be expired. Accu/Decu record will be knocked out and matured. Unwinding: Contract can be unwound at any time by setting the field UNWIND to FULL or PARTIAL. The field UNWIND will be initially blank, at the time of unwinding this field needs to be set depending on the type of unwinding. The field UNWIND.EFF.DATE holds the effective date of unwinding. This date can be a back date, forward date or current date. Units would be accrued from the last fixing date to the unwind effective date. In case of partial unwinding, the field NEW.DAILY.UNITS hold the new daily units that needs to be accrued. The unwinding event will merely close the Option and the Accu/Decu contract. Maturity: If the contract is not knocked out and runs till maturity, then on the last fixing date it would expire the remaining lots and mark the Option trade as closed. Accu/Decu Contract will also be matured. Enhanced Accumulators/Decumulators to be cash Settled / Pay out in Participatory Note. For cash Settlement the SETTLEMENT.METHOD field should be selected as CASH . For Participatory note settlement the associated Option contract should have the settlement method set to physical and settlement instrument should be set to the participatory note instrument.</t>
  </si>
  <si>
    <t>DCI: When the Fixing event runs, system will check if the underlying Option is to be Exercised or Expired or if the Exotic is to be triggered. If set to Exercise and if both Principal and Interest are to be converted to the Alternate currency, system will assign the option and create an FX. On the Maturity Date, FX would mature and funds will be credited in Alternate Currency. If only Principal is to be converted to alternate currency, then only the Principal amount will be used to create the FX contract. The interest would be credited to the Client account in deposit currency. If set to expire, MM deposit will mature on the Maturity Date and the client's account will be credited in the Deposit Currency. TCI: The exercise/ assignment of the option will be based on the currency of pay-out. If the pay-out is to be in the deposit currency or third currency, the option will be expired. If it has to be in the alternate currency, the option will be assigned. If exercised, users need to specify whether the pay-out will be in the alternate currency or the third currency. If the pay-out has to be in either the alternate or third currency, the entire maturity value of the MM will be matured (depending on whether principal alone or Principal plus Interest has to be paid out in alternate currencies). If the pay-out has to be in the alternate currency, the DX Option would be assigned which in turn would create an FX deal. If the pay-out has to be in the third currency, the option will be expired and a new FX deal created to make the payment in the third currency. On maturity date, client's account will be credited in the Alternate or Third Currency accordingly. If set to expire, MM deposit will mature on the Maturity Date and the client's account will be credited in the Deposit Currency.</t>
  </si>
  <si>
    <t>Digital Invest: On fixing date, if the spot rate is at or above the Strike Price, the investor will receive the minimum interest rate. In this scenario, on Fixing Date, the MM Deposit will be updated with the minimum Interest rate to be paid to the customer.MM interest will be recalculated and for both Principal and interest in the Investment Currency and credited to Wash Account. From wash account, the funds will be credited to the Client with the SY.DIGI reference on Maturity Date. If two MM deposits exist, the deposit with the maximum rate will be updated with the minimum interest rate and interest will be recalculated. Both MM deposits will be matured and credited to wash account. Digital Paid Out: At the valuation time on the valuation date, if the spot exchange rate is above the Strike Price in a Bullish Digital Paid-out or below the Strike Price in a Bearish Digital Paid-out, the investor will receive the agreed maximum interest rate. Based on the scenario, Exotic need to be triggered (TRIGGER.EXOTIC) in option trade and Pay Out amount and Currency need to be updated. On the maturity date, option trade will be exercised/expired (for no interest to be paid) and proceeds will be credited to Customer Account.</t>
  </si>
  <si>
    <t>Life cycle Events a) Maturity: If the contract is not knocked out and runs till maturity, then on the last fixing date, Transact would process the fixing. It would also close the underlying option and mark the SY.FX.FORWARDS as matured. b) Fixing: The field FIXING should be set to EXERCISE or EXPIRE. If this field is set then the Fixing Event will get triggered. If this field is set as EXERCISE say against the Buy Option, the Fixing Event will partially exercise the underlying Buy option for the B.SCHEDULED.CALL.AMT. Depending on the set-up, this in turn will create an underlying FX deal. If this field is set as EXPIRE against the Sell Option, the Fixing Event will partially expire the underlying sell option for the S.SCHEDULED.CALL.AMT If the field FIXING is not filled on the fixing date, system will not automatically run the fixing event. User will have to fill this field and manually run the fixing event online c) Knock Out: Transact will not automatically determine if Knock out has happened either for participating forwards or TARKOs. If contract is knocked out, the field B.KNOCK.OUT or S.KNOCK.OUT should be set to YES in the contract. A COB (Close of business) job will check if either the Buy Option or Sell Option is Knocked-out. It will then expire the Option that has knocked out.</t>
  </si>
  <si>
    <t>Following events will be triggered in the IMF Product life cycle Maturity: On the maturity date, system would mature both the deposit and the loan. Principal + Interest would be credited and debited from the client with the SY.IMF reference. The net difference between the credit and debit would be the resulting gain or loss for the client. Rollover: If a rollover frequency is defined, then on the rollover date, both the loan and the deposit will be rolled over. Where the interest rate is fixed, rollover will happen at the fixed rate. Where the interest rate is floating, then the rollover will be at the interest rate applicable on the date of the rollover, for the rollover period. This will be fetched from the PERIODIC.INTEREST record mentioned in the SY.IMF record. The PERIODIC.INTEREST table holds the interest rates for a currency for various tenors. The ID of the table will be the PI Key + Currency + Date. The interest for the applicable rollover period will be taken from the latest record. If no rollover frequency is given, then Transact would not rollover these records. It will have to be handled via an interface Unwinding : Suppose the contract is to be matured early or to be unwound in middle then the UNWINDING event is to be processed. The event will be defined ADHOC in SY.EVENT.DEFINITION record . Only when unwinding in the SY contract happens the event needs to run. Hence when there is value inputted to NEW.MATURITY.DATE filed the unwinding event gets triggered.</t>
  </si>
  <si>
    <t>This process describes the steps involved in capturing and managing requests related to their personal data from customer or prospective customer (captured in PERSON.ENTITY application). Customer's request to exercise - Rights of Erasure - Rights of Access - Rights of Portability - Rights of Rectification - Rights of Restriction - Rights of Objection On completion of request capture for Erasure, Access and Portability, the record is moved to history and subsequently archived based on setup.</t>
  </si>
  <si>
    <t>The process describes activities associated with subscription based events like Share purchase plan or Priority offer. Eligible shareholders can participate in the event to subscribe for shares worth a certain amount. This is a voluntary event with options to subscribe or lapse (not take up) the offer. Shareholders can bid for minimum subscription amount or bid in increments up to a capped amount. Based on client input a decision is made to subscribe for new or additional shares, the client's account would be debited for the subscription amount (Upfront debit). The final debit amount or quantity would generally be available on the election cut-off date. The balance amount is either refunded or adjusted based on Subscription amount/ quantity shared by issuer on the final cut-off date.</t>
  </si>
  <si>
    <t>This process describes activities to merge loans with the same maturity date. Option is available to affect a principal decrease on the existing loans and considers only the balance for merger. Merger may also result in more than one drawing. For example five loans could be merged into two. The consolidated loan(s) could be in any of the allowed currency and could have a different tenor and rate.</t>
  </si>
  <si>
    <t>After a Customer record is created in the system, the Customer portfolio is set up with required restrictions. The assets are subsequently transferred into Customer's account. If Customer requests for building portfolio, the portfolio is built based on the amount committed and strategy selected by the Customer.</t>
  </si>
  <si>
    <t>This process describes the steps involved in opening ISA/JISA accounts/deposits. An ISA/JISA accounts/deposits can be opened in UK when the below eligibility is met - Customer should be an individual - ISA account holder should be over 16 years and JISA account holder less than 18 years - UK Resident National Insurance Number (NINO) is tracked and in case of non-submission of the same before expiry of the period set in parameter then ISA product is switched to a normal savings account/ deposit.</t>
  </si>
  <si>
    <t>This process describes the steps involved in performing a pre-closure (pay off) of the BB loan and also covers the delinking and release of collateral, where applicable.</t>
  </si>
  <si>
    <t>Bond Lending is offered by larger depositories to cover short positions, with the bank receiving a fee when the loan is returned. Bond lending is set at customer (portfolio) level, if securities have been lent from a specific portfolio and at depository (depot) level, to record that the depository holding the security has initiated a borrowing (lending from the point of view of the Bank) from the Bank's security account. Shares can also be lent by parameterising it.</t>
  </si>
  <si>
    <t>This process deals with validations that will be performed upon successfully uploading a bulk payments file. On performing the validation of the bulk master, if errors are encountered the user can create, modify or reject individual items. On approval of master records the system automatically creates Funds Transfer or Direct Debit records. Direct Debit records are created automatically by the system if debits are to be raised on external banks.</t>
  </si>
  <si>
    <t>Disbursement of Batched Receivables is done through Receivables contract. For discounted product types, the drawdown account is credited and messages sent. In case of Part disbursement of a Batch, amount can be appropriated to all the underlying Registers either at pro rata or FIFO basis.</t>
  </si>
  <si>
    <t>This Process describes the steps involved in settling local currency drafts across the counters by the teller. This can be achieved either by crediting the Customer's account with the bank or settlement by cash.</t>
  </si>
  <si>
    <t>This process describes the activities associated with Early Termination of Guarantee. Early termination activity is used to close or cancel a guarantee before its expiry. On termination, fees accrued till date becomes due. The system collects all the dues associated with the underlying guarantee along with the early termination fee. The system discharges the bank's liability on the termination of the guarantee.</t>
  </si>
  <si>
    <t>This process involves activities that a Teller has to perform for funding the Nostro account towards Travellers Cheques issued during the day and advise correspondent Bank accordingly.</t>
  </si>
  <si>
    <t>The process describes the various steps to perform an external credit check and calculate credit score, for a auto loan.</t>
  </si>
  <si>
    <t>It is possible to set a Strategy at Group Level and rebalance the group as a whole. An Order of Priority in which the Portfolios in the group are to be rebalanced can be set. Tax Portfolios can have their own Strategy and system would rebalance any Tax Portfolios using their individual strategies, and then ensure that the Group is rebalanced overall to align with the Group Strategy. Proposed orders can be accepted or rejected with a Reason. It is also possible to Raise a certain amount of Cash from a Group of Portfolios, while maintaining the Strategy. If a Portfolio is part of a Rebalancing group, it cannot be rebalanced individually.</t>
  </si>
  <si>
    <t>This process describes the activities involved in fetching the BNPL facility information that is available for the customer and checking the eligibility for a loan. If eligible, loan simulation is performed on the eligible products and shared via API to Merchant SDK.</t>
  </si>
  <si>
    <t>This process describes the activities relating to capture of data for off-market transfer in/ out of Proprietary (own book) portfolios.</t>
  </si>
  <si>
    <t>This process describes the steps in performing a partial withdrawal of BB deposit through account transfer or cash.</t>
  </si>
  <si>
    <t>This process describes the steps involved in performing a partial withdrawal of a term deposit.</t>
  </si>
  <si>
    <t>This process involves formulation of an appropriate FRA deal strategy after analysis of current position and market information in Treasury Front Office.</t>
  </si>
  <si>
    <t>The process describes the reverse and replay mechanism used to amend or reverse an activity from any date since the contract started. AA allows throughout the term of a loan, to do any backdated activities starting from the loan start date. Any activities that have taken place will be reversed and replayed.</t>
  </si>
  <si>
    <t>This process describes the activities involved in settlement of term deposit on maturity.</t>
  </si>
  <si>
    <t>This process describes the activities involved in performing a Share Transfer for a Standalone Loan. The activity is either initiated by the own bank or based on an intimation received from another participant. Share Transfer can be performed between two existing participants, between an existing participant and new participant or as a Buy-back activity (Own bank buys back share of all other participants involved in the Standalone Loan)</t>
  </si>
  <si>
    <t>This process describes the activities involved in Bilateral splitting of the settlement instructions. Bilateral splitting takes place when both parties instruct for a split to take place. In a bilateral splitting, once the party (bank) and the counterparty enter into an arrangement the original settlement instruction sent to the custodian gets cancelled and further split takes place based on the quantity available for settlement with the party/ counterparty. Splitting of settlement instructions is initiated in three ways; 1. Splitting original settlement instructions 2. Split on split 3. Splitting after netting. The outstanding trade settlements get reviewed by the settlement analyst who decides on initiating the splitting instructions by creating an entry in SP.SPLIT.SETTLEMENT.  Upon authorization, relevant settlement messages are sent out for each split with the split reference as the transaction reference.</t>
  </si>
  <si>
    <t>This process describes the activities related to the execution of electronically received Euro SIC Clearing Status Report (pacs.002). If a negative response is received, the related payment is automatically rejected. The status of the related message will be updated based on the response received.</t>
  </si>
  <si>
    <t>This process describes the activities involved in processing an incoming Trade confirmation (setr.027) message sent by an executing party to an instructing party. The system updates the Trade Message Details and matches the Trade with the incoming message using the parameters such as Nominals, Amount, Price, Trade Date and Value Date. When matched, the system automatically authorizes the trade, otherwise the trade will remain in unauthorized status and the unmatched reason is updated for the back officer user review. When the trade is authorized, based on the setup, related setr.030 message is sent to the counterparty.</t>
  </si>
  <si>
    <t>This process describes the steps involved in the realisation of a Non FIRC payment. Non FIRC Payment denotes such Inward remittance that is received in the same Bank where the documents were submitted. So, the payments are realised against the Invoices submitted. Also the process describes Realisation of Other Bank FIRC Payment. When the Documents are submitted in one Bank and the Inward remittance is received in another Bank, the other Bank issues FIRC. The documents that are submitted can be marked as realised using the Other Bank's FIRC information. This process describes steps involved in realising payments against other Bank's FIRC Payment.</t>
  </si>
  <si>
    <t>This process describes the activities involved in the reclassification of income from Corporate action events. The new income classification code would be received offline from the custodian/ issuer. Income Reclassification will trigger tax adjustment entries (difference between the tax paid and tax due) for the respective corporate action related transactions. Based on parameter setting, adjustment entries would be posted either as a single entry (totalling all tax differences) or as separate entries for every event reclassified to the customer's account.</t>
  </si>
  <si>
    <t>This process describes the activities involved in Merchanting Trade transaction. Merchanting Trade transaction involves shipment of goods from one foreign country to another foreign country via an Indian Intermediary. A linkage is created between import and export transaction during the LC creation.</t>
  </si>
  <si>
    <t>This process describes the activities involved in processing different embargo requests from COELSA through online.</t>
  </si>
  <si>
    <t>This process describes the activities involved in return of outward NPP (New Payments Platform) payment. Upon successful validations, funds are credited back to the customer and message (pacs.002) sent to Direct participant. Return is cancelled and message (pacs.002) is sent to Direct participant in case of technical validation failure, failure in identification of original transaction or failure due to duplicate transaction validation. For credit party determination failure funds are parked in internal account for further investigation and message (pacs.002) sent to Direct participant.</t>
  </si>
  <si>
    <t>The process describes the activities involved in processing return received for previously redirected customer credit transfer. On receipt of return, the original transaction is identified and return transaction will be credited and sent to originating bank. If validation fails, transaction is manually repaired.</t>
  </si>
  <si>
    <t>This process describes the activities involved in executing return of funds (pacs.004) from Indirect Participant. The Return request will be processed if the creditor is within the same bank else will be forwarded to Clearing or Remitting bank, based on Remitting bank nostro availability.</t>
  </si>
  <si>
    <t>This process describes the activities involved in processing reversal of inward Direct Debit collection (pacs.003) or reversal of Direct Debit Return (pacs.004) due to SLA breach or technical issues. The original transaction is identified and reversal transaction is created. The funds are credited to Customer's account for collection transaction or debited to Customer's account for return transaction and debit/ credit acknowledgment (pacs.002) is sent. If a repost message is received from clearing, customer is debited/credited and debit/ credit acknowledgment (pacs.002) is sent.</t>
  </si>
  <si>
    <t>This process describes the activities involved in processing reversal of inward credit transfer (pacs.008) due to SLA breach or technical issues. The original transaction is identified and reversal transaction is created. The funds are debited to Customer's account and debit acknowledgment (pacs.002) is sent. For repost message received from clearing, customer is credited back and credit acknowledgment (pacs.002) sent.</t>
  </si>
  <si>
    <t>The process describes the activities involved in reversing or cancelling inward remittance based on request received from indirect participant. The reversal or cancellation request can be accepted and processed or rejected. If the beneficiary is not within the same bank, the request is forwarded to clearing and is acted upon based on the confirmation received from clearing.</t>
  </si>
  <si>
    <t>The process describes activities associated with receiving and executing a Direct Credit (Inward) file. Funds are credited to customer's account if BACS file validation is successful. On validation failure, based on parameter setup, Direct Credits received will either be automatically returned or placed in repair queue. A manual repair or return is possible for Direct Credits in repair queue.</t>
  </si>
  <si>
    <t>This process describes the activities involved in receiving CHAPS payment request from customers or bank. Necessary validations (e.g. duplicate check) are performed before processing the remittance. If validation fails, transaction can be manually repaired or cancelled. Upon successful validations, necessary entries are raised and message sent to clearing/ direct participant. When direct participant receives payment request, the payment message is sent to clearing, else outward remittance is sent by the indirect participant to direct participant</t>
  </si>
  <si>
    <t>This process describes the activities involved in receiving an outward remittance request initiated by the customer. Necessary validations (e.g. duplicate check) are done before processing the remittance. Incorrect payments are manually cancelled or repaired by the operator.</t>
  </si>
  <si>
    <t>This process describes the activities involved in executing VIBER RTGS outward payment initiated by the customer or bank. Necessary validations (e.g. duplicate check) are performed and if a payment is incorrect, it can automatically cancelled else manually repaired or cancelled. Upon successful validations, an MT103 message is generated to clearing and the funds are sent to clearing.</t>
  </si>
  <si>
    <t>This process describes activities involved in the management of Direct Debit E-Mandates, which are registered and maintained electronically. Upon successful validation, the bulk file is debulked. Individual transactions are processed based on the request type received (pain.009-Register new mandate, pain.010-Amend existing mandate, pain.011-Cancel existing mandate). Corresponding error code and reason gets updated if validation fails. A response file is sent to centralized mandate system containing status of processed transactions.</t>
  </si>
  <si>
    <t>The process begins with the receipt of request from a Customer for foreign currency exchange. The request is validated and the exchange rate is confirmed to the Customer.</t>
  </si>
  <si>
    <t>This process describes the steps involved in scheme return of credit transfer for outbound UK FPS SOP Payments. The transactions are validated and if the validation fails, transaction can be manually repaired. Upon successful validation, the necessary accounting entries are posted and a message is generated to clearing.</t>
  </si>
  <si>
    <t>This process describes the activities involved in reissue of Foreign Inward Remittance Certificate (FIRC) due to loss/ mutilation of already issued FIRC certificate.</t>
  </si>
  <si>
    <t>This process describes the activities involved in reporting errant importers to the Directorate of Enforcement (DoE) and subsequently report them to RBI for further tracking. The outstanding Outward Remittance details (ORM's) need to be shared with RBI as per format prescribed by RBI.</t>
  </si>
  <si>
    <t>This process describes the steps involved in creating customer groups for different purposes. The below parameters needs to be set before creating a customer group: - Define Natural relation and Group relation in RELATION table. - Set-up multiple relationships between customer and/or person entities in PARTY.RELATIONSHIP. For each party relationship it will be possible to define the direction (Parent/Child/Other entity) of the relationship. This party relationship can be imported into CUSTOMER.GROUP based on the Party ID. - Customer grouping can be used for different purposes (e.g. Operational, household) this is configured in CUST.GROUP.PURPOSE. The Group Purpose will contain rules about where the customer group can be used, and how customers and parties in the group can be stored. Operational(Risk) purpose can be used for limit allocation. Sub-Groups can also be created and are used when presenting views of the risk group providing the ability to aggregate members of the sub-group.</t>
  </si>
  <si>
    <t>Process to set up regulatory and institutional constraints. A Global constraint could be restriction for trades in certain countries, stocks, …</t>
  </si>
  <si>
    <t>This process describes the activities involved in configuring automatic position transfer of a multi-currency arrangement or amendment of an existing set up. Transfer of funds from an MCY arrangement to another account can lead to a debit balance or overdraft in the sub-account (where the transaction amount is more than the sub-account balance). The system can be configured to automatically move funds from the other currency sub-accounts to the sub-account holding the debit balance. An automatic internal position transfer from one currency to another takes place within the MCY structure.</t>
  </si>
  <si>
    <t>This process describes the activities involved in parameter set up for charging performance fee for funds.</t>
  </si>
  <si>
    <t>This process describes the activities involved in setting up of rebate fee parameters. A rebate is given if fund A buys units of fund B and fund B is charging fees on NAV, then fund A will get rebate on fee charged by fund B. Rebate fees can be calculated by different methodologies: - Rebate fee calculated on the previous market value (amount type 32). Note that amount type 32 is not compatible with multiclass funds. - Rebate fee calculated on the monthly average market value to NAV date (amount type 33).</t>
  </si>
  <si>
    <t>This process describes the steps involved in configuring a segment-master fund. The number of segments that can be opened within a segment fund structure is not limited. For a Segment-Master Consolidation fund structure, all transactions are done in the sub-funds and automatically duplicated into the master fund. Subscriptions and redemptions are made into the master fund. Master fund is the fund that exists legally and is used for the legal reporting. Subscription/ redemption money is then redistributed to different segments. Segment-Master Replication fund structure is generally required for tax reporting purposes, where various reports are required with different valuation or accounting methods. Two books of accounts will be maintained to accommodate this requirement. A 'Default fund' is the main investment/accounting fund and a 'Shadow fund' will be maintained for tax reporting purposes.</t>
  </si>
  <si>
    <t>This process involves setting up Sweep (various types viz., Maintenance, Surplus, Two way) post the account opening process/on receipt of a specific request from the customer.</t>
  </si>
  <si>
    <t>This process describes the steps involved in setting up Transaction Stop instructions received from a Customer. During execution of Inward Entries and Account to Account Transfers, transactions will be validated against the Transaction Stop instructions. Before setting up Transaction Stop instruction, the below parameters needs to be set - Transaction Stop Parameter - parameterize Default Expiry Days, Days to History, Duplicate Stop Criteria at the lead company level. - Transaction Stop Types - define matching criteria for each Channel/Payment Type. This is defined at the lead company level and will apply to all the companies/branches under the lead. - Transaction Stop Condition - define stop conditions by indicating which attributes are allowed and for each attribute what are the allowed operands. - Transaction Stop Source Mapping Rules - define the transactions sources (OFS Clearing as well as FT) which are in scope of Transaction Stop Check and how the transaction details will be passed to the Transaction Check API.</t>
  </si>
  <si>
    <t>This process describes the settlement of Usance/Sight LC Payments for LCs' released under trust. The margin amount held in provision account is reversed automatically to the extent of proportionate amount of bill received under LC. Based on parameter setup, settlement is either through Temenos Transact or Temenos Payment Hub or any other Payment system.</t>
  </si>
  <si>
    <t>The process depicts activities to transfer export LC on receipt of instructions from the 1st Beneficiary.</t>
  </si>
  <si>
    <t>This process describes the activities involved in the updation of party relationships of a customer for Household Pricing. The Household Pricing functionality allows banks to provide pricing benefits considering the combined balances and/or aggregated activities across all accounts of a group of customers or households. A customer's related accounts group includes their own accounts and accounts owned by parties related to the customer. Grouping related customer accounts together allow financial Institutions to give their customers discounted fees, better interest rates or other special benefits, based on the relationship size of the group or household with the bank and/or their products.</t>
  </si>
  <si>
    <t>This process describes the activities involved in updating the settlement account of a term deposit</t>
  </si>
  <si>
    <t>Physical Certificates (where prevalent) are handled using Vault functionality. System can be parameterised to automatically create a Vault item every time a security is traded or transferred. Alternatively, physical certificates can be added manually to the vault. This functionality can also be used to maintain precious metals etc. of the Customer in Bank's safe custody. Items in the vault are automatically included in the portfolio valuation.</t>
  </si>
  <si>
    <t>The process shows automatic steps executed by the system during a cash deposit transaction. The Role based transaction limits, User group's authorisation/ override management and Authorisation levels are configured as part of the implementation requirement of the client Bank. The Model Bank system is configured for - 1 level of Authorisation for majority of transactions (with exceptions such as 'Link collateral to limit' etc.) - The users rights are configured to accept overrides and input transactions without restrictions.</t>
  </si>
  <si>
    <t>Process depicts the system checks that are done while executing the funds transfer transaction limit. The Role based transaction limits, User group's authorization/ override management and Authorization levels are configured as part of the implementation requirement of the client Bank. The Model Bank system is configured for - 1 level of Authorization for majority of transactions (with exceptions such as 'Link collateral to limit' etc.). - The users rights are configured to accept overrides and input transactions without restrictions.</t>
  </si>
  <si>
    <t>The process shows automatic steps executed by the system while executing the following processes: 1. Execute LCY Cash withdrawal 2. Execute FCY Cash withdrawal 3. Execute Travellers cheque encashment 4. Execute Travellers cheque sale 5. Execute Sell FCY against LCY cash 6. Execute Buy FCY against LCY cash. The Role based transaction limits, User group's authorization/ override management and Authorization levels are configured as part of the implementation requirement of the client Bank. The Model Bank system is configured for - 1 level of Authorization for majority of transactions (with exceptions such as 'Link collateral to limit' etc.) - The users rights are configured to accept overrides and input transactions without restrictions.</t>
  </si>
  <si>
    <t>This process describes the activities involved in executing outward payments initiated by the Customer. Based on the response from the bank incorrect transactions can be manually cancelled. If validations are successful, pacs.008 is generated and sent to clearing and the transaction status gets updated.</t>
  </si>
  <si>
    <t>Receive and Initiate Outward Remittance (Nordic)</t>
  </si>
  <si>
    <t>Receive and Initiate Outward Remittance (EQUENS)</t>
  </si>
  <si>
    <t>This process describes the steps involved in receiving &amp; processing an Inward EBA Request To Pay (RTP). The Request To Pay is validated and send to the payer. Based on the scheme, the payer chooses the response and an message is sent to Central Infrastructure.</t>
  </si>
  <si>
    <t>This process describes the activities involved in managing Definition of Default (DOD) at the Facility and/or Obligor level. The Bank can decide to modify DPD/UTP/Probation Default flags, DPD suspend indicators and UTP indicators manually to reset DOD for internal reasons.</t>
  </si>
  <si>
    <t>This process describes the activities involved in recognising Unlikeliness To Pay (UTP) as defined in the Definition of Default (DOD) regulatory rules governing the identification of default of an obligor. UTP indicator is set as Default Facility Exceeds Threshold based on the percentage of total default exposure determined by Pulling effective tests at the facility level.</t>
  </si>
  <si>
    <t>Open Multicurrency Account (RDBS)</t>
  </si>
  <si>
    <t>Open Sub Account (RDBS)</t>
  </si>
  <si>
    <t>This Process describes the activities involved in opening a Multicurrency Master account in Base currency. Multicurrency accounts can be opened with a single owner/ multiple owners. Based on the parameter setup base currency sub-accounts are auto-created.</t>
  </si>
  <si>
    <t>This process describes the activities involved in the opening of sub-accounts under a multicurrency master account.</t>
  </si>
  <si>
    <t>Add or Remove Party from Multicurrency Account (RDBS)</t>
  </si>
  <si>
    <t>This process describes the activities involved in adding or removing party from a Multicurrency Master Account.</t>
  </si>
  <si>
    <t>Credit or Debit Funds to a Multicurrency Account (RDBS)</t>
  </si>
  <si>
    <t>This process describes the activities involved in crediting or debiting funds to/ from a multicurrency master/ subaccount.</t>
  </si>
  <si>
    <t>Process Customer Initiated Position Transfer (RDBS)</t>
  </si>
  <si>
    <t>This Process describes the activities involved in transferring funds from one currency sub account to other currency sub account within Multicurrency Master account</t>
  </si>
  <si>
    <t>Set or Remove Posting Restrict from Multicurrency Account (RDBS)</t>
  </si>
  <si>
    <t>This process describes the activities involved in adding or removing posting restriction for debit or credit transactions or both credit and debit transactions to a Multicurrency account.</t>
  </si>
  <si>
    <t>Set Up or Amend Automatic Position Transfer (RDBS)</t>
  </si>
  <si>
    <t>This process describes the activities involved in configuring automatic position transfer for a multi-currency arrangement or amendment of an existing set-up.</t>
  </si>
  <si>
    <t>Update Settlement Account (RDBS)</t>
  </si>
  <si>
    <t>This process describes the activities involved in changing the Settlement account for a multicurrency master account.</t>
  </si>
  <si>
    <t>Close Multicurrency Account (RDBS)</t>
  </si>
  <si>
    <t>The process describes the activities involved in closure of a multicurrency account. Account closure simulation is performed for the requested multicurrency account followed by settlement of funds and successful closure of the multicurrency account and its associated sub-accounts.</t>
  </si>
  <si>
    <t>17.2.3 Multi-Currency (RDBS)</t>
  </si>
  <si>
    <t>Create Company (RDBS)</t>
  </si>
  <si>
    <t>This process describes the activities involved in creation of a new company.</t>
  </si>
  <si>
    <t>Amend Company (RDBS)</t>
  </si>
  <si>
    <t>This process describes the activities involved in amendment of company details.</t>
  </si>
  <si>
    <t>Create Company Group (RDBS)</t>
  </si>
  <si>
    <t>This process describes the activities involved in creation of a new company group.</t>
  </si>
  <si>
    <t>Initiate Parent Child Orders (Derivatives)</t>
  </si>
  <si>
    <t>This process describes the activities involved in the creation of bulk orders for Derivatives. Derivative Orders can be created as Parent Child Orders, where Parent Orders, hold the Broker (Market) side and the Child Orders will hold each customer's side. The contract, strike price, maturity, underlying maturity, call or put indicator, and direction (buy/ sell) should match the Parent and Child orders to form the Parent-Child structure. The Parent-Child Orders are linked by a common Reference. Only the parent order is sent to the market for execution. The Parent-child separation continues into Execution.</t>
  </si>
  <si>
    <t>Execute and Complete Parent Child Orders (Derivatives)</t>
  </si>
  <si>
    <t>This process explains the execution of Parent orders, which in turn execute underlying child orders. In a parent-child structure, only the parent order is sent to the market for execution. On execution of the Parent Order, execution nominals are prorated among the child automatically, and trades are created by taking the customer from child order and broker from parent order. Secondary side fees, if any, for the execution are prorated to the trades created based on the parameter setup.</t>
  </si>
  <si>
    <t>Create Workflow Steering</t>
  </si>
  <si>
    <t>This process describes the activities involved in the creation of a Workflow steering. Workflow steering segregates multiple hits on a transaction by splitting and assigning them to respective queues queue to be reviewed and addressed.</t>
  </si>
  <si>
    <t>Receive and Initiate Outward Remittance (SEPA)</t>
  </si>
  <si>
    <t>17.2.4 Common Processes (RDBS)</t>
  </si>
  <si>
    <t>17.2.4.2 Multi Company (RDBS)</t>
  </si>
  <si>
    <t>17.2.4.1 Alerts (RDBS)</t>
  </si>
  <si>
    <t>Unsubscribe to Bank User Alerts (RDBS)</t>
  </si>
  <si>
    <t>Subscribe to Bank User Alerts (RDBS)</t>
  </si>
  <si>
    <t>Unsubscribe to Account Alerts (RDBS)</t>
  </si>
  <si>
    <t>Subscribe to Account Alerts (RDBS)</t>
  </si>
  <si>
    <t>This process describes the activities involved in Unsubscribing to Bank user/Departmental Account Officers (DAO) Alerts.</t>
  </si>
  <si>
    <t>This Process describes the activities involved in subscribing to Bank User or Demand Account Officer (DAO) alerts. Alerts assist bank users, who regularly monitor the accounts for various reporting requirements.</t>
  </si>
  <si>
    <t>This process describes the activities involved in the Unsubscription of Account Alerts by customer.</t>
  </si>
  <si>
    <t>This process describes the activities involved in subscribing to account alerts. Alerts enable customers, to check the daily transactions that occur in their accounts, manage their accounts effectively, and avoid paying unnecessary fees (such as low balance charges).</t>
  </si>
  <si>
    <t>This process describes the activities involved in applying for and obtaining a Bridge Loan by a Retail customer. A bridge loan is a short-term loan used until a person or company secures permanent financing or pays an existing obligation. It allows the borrower to meet current obligations by providing immediate cash flow. Bridge loans have relatively high interest rates and are usually backed by some form of collateral, such as real estate or the inventory of a business.</t>
  </si>
  <si>
    <t>This procedure describes the End to End activities involved in making a QR Payment from a Mobile banking application. This also helps us to set a default account for payment. QR (Quick Response) payments are electronic payments that allow users to make payments using a QR code.</t>
  </si>
  <si>
    <t>Capture Secondary Loan Trade for Sell</t>
  </si>
  <si>
    <t>Capture Secondary Loan Trade for Buy</t>
  </si>
  <si>
    <t>Capture Secondary Loan Trade for Transfer</t>
  </si>
  <si>
    <t>Manage Secondary Loan Trade</t>
  </si>
  <si>
    <t>Create Loan Trade Product</t>
  </si>
  <si>
    <t>2.3.10 Product Administration</t>
  </si>
  <si>
    <t>2.3.9 Secondary Loan Trading</t>
  </si>
  <si>
    <t>Amend or Cancel Notice for Withdrawal (AA)</t>
  </si>
  <si>
    <t>Record Notice for Closure (AA)</t>
  </si>
  <si>
    <t>This process describes the activities involved in the modification or cancellation of a notice for withdrawal request from a customer.</t>
  </si>
  <si>
    <t>Record Notice for Withdrawal (AA)</t>
  </si>
  <si>
    <t>Change Product of a Multicurrency Account</t>
  </si>
  <si>
    <t>This process describes the activities involved in receiving a customer request to change the product of a Multicurrency account. Banks change the product of a multi-currency account and sub-account by performing an upgrade or downgrade of the multi-currency structure.</t>
  </si>
  <si>
    <t>Process Cancellation Request of Outward Remittance (PP)</t>
  </si>
  <si>
    <t>Process Cancellation Request of Outward Remittance (TARGET2)</t>
  </si>
  <si>
    <t>Execute Cancellation of Outward Collection before Distribution to Clearing</t>
  </si>
  <si>
    <t>This process describes the steps involved in the cancellation of an outward Direct Debit collection request received via camt.055, API, etc. Post validation of the request, the cancellation request is accepted if payment/ collection is not sent to clearing. The cancellation request is rejected if the payment/ collection is already sent to clearing. Appropriate positive/ negative responses are sent via camt.029, pain.002 or API.</t>
  </si>
  <si>
    <t>Process Cancellation Request of Outward Remittance (SEPA)</t>
  </si>
  <si>
    <t>Set Up Capitalisation Frequency and Credit Interest (Notional Pooling)</t>
  </si>
  <si>
    <t>Set Up Mandates and Signatory Groups *</t>
  </si>
  <si>
    <t>Set Up Mandates and Signatory Groups</t>
  </si>
  <si>
    <t>Enterprise Services Processes</t>
  </si>
  <si>
    <t xml:space="preserve">Enterprise Services Processes </t>
  </si>
  <si>
    <t>19.1 Retail Enterprise Services (RES)</t>
  </si>
  <si>
    <t>19.1.1 Accounts Processes (RES)</t>
  </si>
  <si>
    <t>Add or Remove Party from Account (RES)</t>
  </si>
  <si>
    <t>Apply or Remove Posting Restriction (RES)</t>
  </si>
  <si>
    <t>Block or Unblock Funds in Account (RES)</t>
  </si>
  <si>
    <t>Close Account (RES)</t>
  </si>
  <si>
    <t>Create Account (RES)</t>
  </si>
  <si>
    <t>Credit or Debit Funds to an Account (RES)</t>
  </si>
  <si>
    <t>Update Account Status (RES)</t>
  </si>
  <si>
    <t>Update Interest Details (RES)</t>
  </si>
  <si>
    <t>Update Statement Frequency of Account (RES)</t>
  </si>
  <si>
    <t>This process describes the activities involved in opening an arrangement account.</t>
  </si>
  <si>
    <t>19.1.2 Term Deposit Processes (RES)</t>
  </si>
  <si>
    <t>Add or Remove Party from Term Deposit (RES)</t>
  </si>
  <si>
    <t>Apply or Remove Posting Restriction to Term Deposit (RES)</t>
  </si>
  <si>
    <t>Block or Unblock Funds in Term Deposit (RES)</t>
  </si>
  <si>
    <t>Create Term Deposit (RES)</t>
  </si>
  <si>
    <t>Fund Term deposit (RES)</t>
  </si>
  <si>
    <t>Perform Early Redemption of Term Deposit (RES)</t>
  </si>
  <si>
    <t>Perform Manual Rollover of Term Deposit (RES)</t>
  </si>
  <si>
    <t>Perform Partial Withdrawal of Term Deposit (RES)</t>
  </si>
  <si>
    <t>Perform Settlement of Term Deposit on Maturity (RES)</t>
  </si>
  <si>
    <t>Update Settlement Account for Term Deposit (RES)</t>
  </si>
  <si>
    <t>Update Term Deposit Interest Details (RES)</t>
  </si>
  <si>
    <t>This process describes the activities involved in blocking, unblocking, or updating blocked funds for a specific period and amount in a term deposit.</t>
  </si>
  <si>
    <t>This process describes the activities involved in crediting of funds to a term deposit account.</t>
  </si>
  <si>
    <t>19.1.3 Lending Processes (RES)</t>
  </si>
  <si>
    <t>Amend Facility (RES)</t>
  </si>
  <si>
    <t>Apply Payment Holiday (RES)</t>
  </si>
  <si>
    <t>Create Loan (RES)</t>
  </si>
  <si>
    <t>Disburse Loan (Manual) (RES)</t>
  </si>
  <si>
    <t>Execute Charge Off (RES)</t>
  </si>
  <si>
    <t>Pay Off Loan (RES)</t>
  </si>
  <si>
    <t>Perform Facility Closure (RES)</t>
  </si>
  <si>
    <t>Perform Loan Repayment (RES)</t>
  </si>
  <si>
    <t>Perform Loan Simulation on Eligible Products (RES)</t>
  </si>
  <si>
    <t>Register for Buy Now Pay Later (RES)</t>
  </si>
  <si>
    <t>Write-off Loan (RES)</t>
  </si>
  <si>
    <t>This process describes the activities involved in the amendment of facility amount based on customer request. RES service offers to increase or decrease facility amounts for an existing RES customer. The customer can request the RES provider for an increase or decrease in the facility amount. Based on the customer's creditworthiness and financial history analysis, the RES provider decides whether to approve the facility modification request.</t>
  </si>
  <si>
    <t>This process describes the activities involved for setting up a loan.</t>
  </si>
  <si>
    <t>This process describes the activities involved in an early closure (Pay Off) of a loan. Customers can opt to pre-close a loan before the maturity date, by paying off the outstanding amount. When the customer pays off the outstanding amount (principal, interest to date and penalties), the loan is closed.</t>
  </si>
  <si>
    <t>This process describes the activities involved in the repayment of the loan by the customer. Banks can use this feature to make payments of overdue amounts or effect partial prepayments on a loan if no amounts are overdue. Banks can choose to restrict excess payments over and above the due amount or impose a charge for excess payment, if allowed.</t>
  </si>
  <si>
    <t>This process describes the activities involved in fetching the facility information that is available for the customer and checking the eligibility for a loan. If eligible, loan simulation is performed on the eligible products and shared via API to Merchant SDK.</t>
  </si>
  <si>
    <t>19.1.4 Multi-Currency Processes (RES)</t>
  </si>
  <si>
    <t>Add or Remove Party from Multicurrency Account (RES)</t>
  </si>
  <si>
    <t>Apply or Remove Posting Restriction in Multicurrency Account (RES)</t>
  </si>
  <si>
    <t>Close Multicurrency Account (RES)</t>
  </si>
  <si>
    <t>Create Multicurrency Account (RES)</t>
  </si>
  <si>
    <t>Create Sub Account (RES)</t>
  </si>
  <si>
    <t>Credit or Debit Funds to a Multicurrency Account (RES)</t>
  </si>
  <si>
    <t>Update Settlement Account (RES)</t>
  </si>
  <si>
    <t>Update Sweep Priority for Multicurrency Accounts (RES)</t>
  </si>
  <si>
    <t>This process describes the activities involved in adding or removing party to/ from a Multicurrency Master Account.</t>
  </si>
  <si>
    <t>This process describes the activities involved in applying or removing posting restrictions for debit or credit transactions or both credit and debit transactions to a multicurrency account.</t>
  </si>
  <si>
    <t>This Process describes the activities involved in creation of Multicurrency Master account in Base currency. Multicurrency accounts can be opened with a single owner/ multiple owners. Based on the parameter setup base currency sub-accounts are auto-created.</t>
  </si>
  <si>
    <t>This process describes the activities involved in the creation of sub-accounts under a multicurrency master account.</t>
  </si>
  <si>
    <t>This process describes the activities involved in updation of sweep priority for a Multicurrency account</t>
  </si>
  <si>
    <t>3.4.10 Sri Lanka</t>
  </si>
  <si>
    <t>3.4.10.1 LKRTGS Payments</t>
  </si>
  <si>
    <t>3.4.10.2 CITS Cheque Clearing</t>
  </si>
  <si>
    <t>3.4.10.3 SLIPS Payments</t>
  </si>
  <si>
    <t>3.4.10.3.1 SLIPS Credit Transfers</t>
  </si>
  <si>
    <t>3.4.10.3.2 SLIPS Direct Debits</t>
  </si>
  <si>
    <t>3.4.10.4 CEFTS Payments</t>
  </si>
  <si>
    <t>3.4.10.4.1 CEFTS Credit Transfers</t>
  </si>
  <si>
    <t>3.4.10.4.2 CEFTS Direct Debits and Just Pay</t>
  </si>
  <si>
    <t>3.4.11 United Kingdom</t>
  </si>
  <si>
    <t>3.4.11.1 Faster Payments</t>
  </si>
  <si>
    <t>3.4.11.2 CHAPS Payments</t>
  </si>
  <si>
    <t>3.4.12.1 FedNow Payments</t>
  </si>
  <si>
    <t>3.4.12 United States of America</t>
  </si>
  <si>
    <r>
      <t xml:space="preserve">Temenos Banking Solution (TBS) Processes 
</t>
    </r>
    <r>
      <rPr>
        <b/>
        <u/>
        <sz val="10"/>
        <rFont val="Arial"/>
        <family val="2"/>
      </rPr>
      <t>Retail Lending Fulfillment Service (RFS)</t>
    </r>
    <r>
      <rPr>
        <b/>
        <sz val="10"/>
        <rFont val="Arial"/>
        <family val="2"/>
      </rPr>
      <t xml:space="preserve"> covers the creation, disbursement, and repayment of Loans.
</t>
    </r>
    <r>
      <rPr>
        <b/>
        <u/>
        <sz val="10"/>
        <rFont val="Arial"/>
        <family val="2"/>
      </rPr>
      <t>Retail Deposits Banking Service (RDBS)</t>
    </r>
    <r>
      <rPr>
        <b/>
        <sz val="10"/>
        <rFont val="Arial"/>
        <family val="2"/>
      </rPr>
      <t xml:space="preserve"> covers the opening &amp; closing of Accounts, Term Deposits, Transferring funds, maintenance, closure of the Accounts/ Term Deposits, Alerts, Multi-Currency Accounts and Multi-Company Groups.
</t>
    </r>
    <r>
      <rPr>
        <b/>
        <u/>
        <sz val="10"/>
        <rFont val="Arial"/>
        <family val="2"/>
      </rPr>
      <t>Target Instant Payment System (TIPS) Service</t>
    </r>
    <r>
      <rPr>
        <b/>
        <sz val="10"/>
        <rFont val="Arial"/>
        <family val="2"/>
      </rPr>
      <t xml:space="preserve"> covers outward remittance, inward credit transfers, and the cancellation of payments.
</t>
    </r>
    <r>
      <rPr>
        <b/>
        <u/>
        <sz val="10"/>
        <rFont val="Arial"/>
        <family val="2"/>
      </rPr>
      <t>Temenos Enterprise Pricing (TEP)</t>
    </r>
    <r>
      <rPr>
        <b/>
        <sz val="10"/>
        <rFont val="Arial"/>
        <family val="2"/>
      </rPr>
      <t xml:space="preserve"> covers Creating package arrangements for pricing benefits, closing the package, updating negotiated price and capturing relationships for relationship pricing.
</t>
    </r>
    <r>
      <rPr>
        <b/>
        <u/>
        <sz val="10"/>
        <rFont val="Arial"/>
        <family val="2"/>
      </rPr>
      <t>Buy Now Pay Later (BNPL)</t>
    </r>
    <r>
      <rPr>
        <b/>
        <sz val="10"/>
        <rFont val="Arial"/>
        <family val="2"/>
      </rPr>
      <t xml:space="preserve"> covers financing options for their retail customers, from Customer registration, Loan creation to Loan cancellation and refund. It also supports the amendment and closure of Facilities and loans.   
</t>
    </r>
  </si>
  <si>
    <t xml:space="preserve"> credit transactions of an account.</t>
  </si>
  <si>
    <t>This process describes the steps involved in capturing a Buy trade for a secondary loan product. A Buy trade occurs when own bank prefers to Buy its portion in the syndication. For the system to initiate a buy, the associated loan trade product should be already published in the Loan trade product catalog.</t>
  </si>
  <si>
    <t>This process describes the steps involved in capturing a sell trade for a secondary loan product. A sell trade occurs when own bank prefers to sell its portion in the syndication (wholly or partially) to another lender (new or existing participant in the syndication). For the system to initiate a sell loan trade the associated loan trade product should be available in the Loan Trade product catalog.</t>
  </si>
  <si>
    <t>This process describes the steps involved in capturing a transfer loan trade for a secondary loan product. A transfer trade occurs when own bank is an agent and is capturing the trade on behalf of the participants. For the system to initiate a transfer loan trade the associated loan trade product should be already published in the Loan Trade product catalog.</t>
  </si>
  <si>
    <t>The process describes the activities involved in the closure of an arrangement account. Customer request is received along with the unused deliverables (chequebook, debit card, etc.). The details are captured in the system and the closure activities are completed. Account closure can be settled either through cash, account transfer, or payment order.</t>
  </si>
  <si>
    <t>This process describes the activities involved in creating and amending the obligor details. An obligor is defined as a person who owes or undertakes an obligation to another by contract or legal procedure. The contracts considered for obligor processing is based on the obligor parameter and obligor details are updated as part of COB.</t>
  </si>
  <si>
    <t>This process describes the activities involved in creating a facility under a deal based on allowed products set. A facility cannot be created under a blocked deal or in case of insufficient deal commitment balance. Facility arrangement details, variable or fixed limit, commitment amortisation schedule and payment method are captured based on customer request. During the tenor of the facility, the agreed amount can be utilised by the customer by performing drawdown on the facility and creating loan arrangements. A customer is allowed to draw multiple times (within allowed facility limits) with each drawing having its own unique conditions.</t>
  </si>
  <si>
    <t>This process describes the activities involved in setting up a product for the creation of Secondary Loan Trading. Once the product is published, it will be available in the Loan Trade Product catalog to capture a new trade.</t>
  </si>
  <si>
    <t>This process describes the activities involved in creating a standalone facility arrangement for a customer. The Facility contract may be Bilateral or may include Participants. Facility arrangement details, variable or fixed limit, commitment amortisation schedule and payment method are captured based on customer request. During the tenor of the facility, the agreed amount can be utilised by the customer by performing drawdown on the facility and creating loan arrangements. A customer is allowed to draw multiple times (within allowed facility limits) with each drawing having its own unique conditions.</t>
  </si>
  <si>
    <t>This process describes the activities involved in rollover of an existing Deal either partially or fully. Existing deal is cancelled and a new Deal created subsequently. Cancellation details is sent to back office supervisor for review and authorisation. Post authorisation, an confirmation advice is sent to counterparty.</t>
  </si>
  <si>
    <t>This process describes capturing a REPO/RESO deal in the system and providing trade data to the back office for further processing. Floating rate Repos can be input by linking the Periodic Interest table to a Repo contract for CLASSIC type of Repo contracts. Intra-day Repos can be input by setting the INTRADAY.TRADE to YES, providing the Start and End Time of the contract.  The system calculates the interest amount for the duration between the start and end time and the contract matures on the same day.</t>
  </si>
  <si>
    <t>The process is triggered over the counter (OTC), when the customer requests for exercising the option or where counterparty requests for an assignment. The option is exercised/ assigned and system creates a closeout record. On committing the closeout record, system creates Forex trade. System can also be parameterised to automatically exercise an Option if pre-defined conditions are met.</t>
  </si>
  <si>
    <t>This process describes the steps involved in managing a Secondary Loan Trade (Buy/ Sell/ Transfer). Loan trade details updation, an amendment to commitment, updation of trade details and execution and settlement of trade can be performed for a Secondary Loan Trade.</t>
  </si>
  <si>
    <t>This process describes the activities involved in the partial withdrawal of AA deposit through account transfer, cash or using a payment order.</t>
  </si>
  <si>
    <t>This process describes various activities involved in the early closure of an AA deposit.</t>
  </si>
  <si>
    <t>This process describes the review and setting up of interest rates on the rate revision date, for various interest types -Floating, RFR (Risk-Free Rate), Periodic and Fixed.</t>
  </si>
  <si>
    <t>This process depicts the activities related to the repayment of an AA deposit. In case a settlement account or beneficiary has been provided, transfer will happen automatically. Otherwise, a manual repayment either through cash/ Funds Transfer mode needs to be executed.</t>
  </si>
  <si>
    <t>This process describes the steps involved in receiving &amp; processing an Inward Saudi Request To Pay (RTP). The Request To Pay is validated and send to the payer. Based on the scheme, the payer chooses the response and an message is sent to Central Infrastructure.</t>
  </si>
  <si>
    <t>This process describes the activities involved in capturing the details of a closure notice request from the Customer for a Notice Account.</t>
  </si>
  <si>
    <t>This process describes the activities involved in capturing a withdrawal notice request from customer.</t>
  </si>
  <si>
    <t>This process describes how to setup capitalisation frequency and credit interest for accounts.</t>
  </si>
  <si>
    <t>The process describes the activities performed by the back office to issue a draft/ bankers' cheque. Necessary validations and Sanctions screening are performed before the draft is issued. The payment (MT110 or camt.107) is sent to clearing and customer is debited. If Network acknowledgment is not required, payment is directly updated as completed and customer is informed. For Network acknowledgment required, based on the response from clearing, either the transaction is marked as completed, resubmitted, or reversed.</t>
  </si>
  <si>
    <t>This process describes the activities involved in amending an existing deal arrangement account. The following amendments are allowed in a deal arrangement. - Inclusion/ removal of allowed products (Facility or Drawings) - Renegotiate Arrangement - Update Account Details and Posting Restrictions - Adjust Balances and Bills - Change Customer - Update Limit Link</t>
  </si>
  <si>
    <t>This process describes the activities involved in the amendment of a deposit based on a Customer request.</t>
  </si>
  <si>
    <t>This process describes the activities involved in applying or removing posting restrictions to debit/ credit transactions of an account.</t>
  </si>
  <si>
    <t>Execute Inward Bank Transfer (FedNow)</t>
  </si>
  <si>
    <t>Receive and Initiate Outward Remittance (RPSSCL)</t>
  </si>
  <si>
    <t>This process describes the activities involved in receiving a FedNow Bank (Financial Institution) Credit transfer payment. Syntax validations are performed, in case of validation failure, message (admi.002) is sent to clearing (FedNow) and the transaction is rejected. Post syntax validations, Payment validations (e.g. Credit account determination, duplicate check) are performed and if validations are unsuccessful, then payment is moved to the repair queue. If validation is successful, accounting entries are generated.</t>
  </si>
  <si>
    <t xml:space="preserve"> assigned and Transact creates a closeout record. On committing the closeout record, system creates Trades on exercise. System can also be parameterised to automatically exercise an Option if predefined conditions are met. On exercising equity option with physical settlement, settlement can be done using an alternate instrument if the same is defined in the contract master. Its contract size and price needs to be entered during closeout process. System also supports cash payout for equity options when SETTLEMENT.METHOD is set to physical or cash respectively.</t>
  </si>
  <si>
    <t>This process illustrates activities involved in partial withdrawal of AA deposit through account transfer or cash.</t>
  </si>
  <si>
    <t>Perform Change of Company</t>
  </si>
  <si>
    <t>This process describes the activities involved in changing a company for an arrangement. The change gets processed at the close of business and all records pertaining to the arrangement get transferred to the new company.</t>
  </si>
  <si>
    <t>Perform Asset Classification (Manual)</t>
  </si>
  <si>
    <t>This process describes the activities involved in the classification of a customer loan. Customer loans can be manually aged based on the overdue status of an arrangement (such as, grace, delinquent, non-accrual basis (NAB), etc) as defined in the Overdue condition.</t>
  </si>
  <si>
    <t>Amend Multicurrency Account</t>
  </si>
  <si>
    <t>This process describes the activities involved in the amendment of an MCY arrangement account. The request can be either Bank or Customer initiated. Amendments related to the change in product, change in account details, posting restrictions, renegotiation of arrangements, updating limits, and adjusting balances and bills of an arrangement account are done through the new activity option.</t>
  </si>
  <si>
    <t>This process describes activities involved in the creation and funding of a fixed deposit/ bond (Fixed/ Floating/ Short term/ Long term etc.). Deposit funding can be through fund transfer, cash or using payment order based on captured beneficiary details</t>
  </si>
  <si>
    <t>Amend Interest on Loan</t>
  </si>
  <si>
    <t>This process describes the steps involved in amending the interest for a loan manually.</t>
  </si>
  <si>
    <t>Perform Loan Charge-Off</t>
  </si>
  <si>
    <t>This process describes the steps involved to perform a Loan charge-off. The bank may charge-off the principal balance of a loan due to reasons like loan is deemed doubtful.</t>
  </si>
  <si>
    <t>Manage Loan Document and Image Upload</t>
  </si>
  <si>
    <t>The process describes the activities involved in uploading images and documents for a Loan Arrangement.</t>
  </si>
  <si>
    <t>Perform Payment Holiday</t>
  </si>
  <si>
    <t>This process describes the steps involved in applying Payment Holiday for a loan. Payment Holiday is a feature offered by banks using which a customer can opt to take an installment break, to skip repayment</t>
  </si>
  <si>
    <t>Add Party to Asset Finance Arrangement (AS)</t>
  </si>
  <si>
    <t>Amend Amount and Term of Asset Finance Arrangement (AS)</t>
  </si>
  <si>
    <t>Cancel Asset Finance Arrangement (Manual) (AS)</t>
  </si>
  <si>
    <t>Change Interest Rate (AS)</t>
  </si>
  <si>
    <t>Create Finance Lease Arrangement (AS)</t>
  </si>
  <si>
    <t>Create Hire Purchase Arrangement (AS)</t>
  </si>
  <si>
    <t>Create Operating Lease Arrangement (AS)</t>
  </si>
  <si>
    <t>Update Direct Debit Mandate (AS)</t>
  </si>
  <si>
    <t>This process describes the activities involved in activation of an asset finance arrangement.</t>
  </si>
  <si>
    <t>This process describes the activities involved in adding a party to an asset finance arrangement.</t>
  </si>
  <si>
    <t>This process describes the activities involved in the amendment of the amount and term in an existing Asset finance arrangement.</t>
  </si>
  <si>
    <t>This process describes the activities involved in manual cancellation of an asset finance arrangement.</t>
  </si>
  <si>
    <t>This process describes the activities involved in creation of a Finance Lease Asset Finance Arrangement. A finance lease is a financial product, in which a leasing company gives operating control of an asset to a business for an agreed period, and typically at the end of the contract, the lessee will become the owner of the asset at the end of the lease</t>
  </si>
  <si>
    <t>The process describes the activities associated with updating the Direct Debit mandate in asset finance arrangement</t>
  </si>
  <si>
    <t>Activate Asset Finance Arrangement (AS)</t>
  </si>
  <si>
    <t xml:space="preserve">Business Banking processes cover a range of service offerings such as  Accounts, Deposits, Loans, Asset Finance products that serve the needs of the Small Medium Enterprise (SME) segment.
</t>
  </si>
  <si>
    <t>18.5 Asset Finance Processes (AS)</t>
  </si>
  <si>
    <t>18.5.1 Finance Lease (AS)</t>
  </si>
  <si>
    <t>18.5.2 Hire Purchase (AS)</t>
  </si>
  <si>
    <t>18.5.5 Common Processes (AS)</t>
  </si>
  <si>
    <t>Change Branch (RES)</t>
  </si>
  <si>
    <t>Change Product (RES)</t>
  </si>
  <si>
    <t>Manage Card Request (RES)</t>
  </si>
  <si>
    <t>Manage Cheque Book Request (RES)</t>
  </si>
  <si>
    <t>Manage Standing Order (RES)</t>
  </si>
  <si>
    <t>Manage Sweep (RES)</t>
  </si>
  <si>
    <t>Manage Withdrawal Notice (RES)</t>
  </si>
  <si>
    <t>Process Migration of Accounts or Deposits (RES)</t>
  </si>
  <si>
    <t>Stop Payment of Cheque (RES)</t>
  </si>
  <si>
    <t>Update Limit (RES)</t>
  </si>
  <si>
    <t>This process describes the activities involved in changing a branch for an account</t>
  </si>
  <si>
    <t>This process describes the activities involved in performing a product change in an account.</t>
  </si>
  <si>
    <t>This process describes the activities involved in creation, updation or deletion of a card.</t>
  </si>
  <si>
    <t>This process describes the activities involved in creation, updation or deletion of cheque book request.</t>
  </si>
  <si>
    <t>This process describes the activities involved in creation, updation and deletion of standing orders</t>
  </si>
  <si>
    <t>This process describes the activities involved in creation, updation and deletion of sweep setup for an account.</t>
  </si>
  <si>
    <t>This process describes the activities involved in creation, updation and cancellation of notice withdrawal.</t>
  </si>
  <si>
    <t>This process describes the activities involved in migration of account or deposits and their correspond bills and balances.</t>
  </si>
  <si>
    <t>This process describes the activities involved in processing of a Stop payment request for a cheque.</t>
  </si>
  <si>
    <t>This process describes the activities involved in updation of limit in account.</t>
  </si>
  <si>
    <t>This process describes the activities involved in updation of settlement account for arrangement accounts and multicurrency master accounts.</t>
  </si>
  <si>
    <t>Amend Repayment Date or Frequency (RES)</t>
  </si>
  <si>
    <t>Amend Settlement or Repayment Account Details (RES)</t>
  </si>
  <si>
    <t>Create Loan Drawdown Offer (RES)</t>
  </si>
  <si>
    <t>Manage Posting Restriction (RES)</t>
  </si>
  <si>
    <t>Perform Loan Drawdown Negotiation (RES)</t>
  </si>
  <si>
    <t>Perform Payment Holiday Simulation (RES)</t>
  </si>
  <si>
    <t>Process Loan Drawdown Acceptance (RES)</t>
  </si>
  <si>
    <t>Process Partial Prepayment (RES)</t>
  </si>
  <si>
    <t>This process describes the activities involved in performing amendment to the repayment schedule by making frequency revision or date changes.</t>
  </si>
  <si>
    <t>This process describes the activities involved in the amendment of settlement or repayment account details for a lending arrangement.</t>
  </si>
  <si>
    <t>This process describes the activities involved in creating loan drawdown offer from facility.</t>
  </si>
  <si>
    <t>This process describes the activities involved in adding, updating, or removing posting restriction on a given account. When a transaction is done impacting the account, an overriding message is triggered stating the posting restriction on the account. The restrictions can be given at the customer or account level.</t>
  </si>
  <si>
    <t>This process describes the activities involved in negotiation of loan drawdown offer.</t>
  </si>
  <si>
    <t>This process describes the activities involved in simulation of payment holiday.</t>
  </si>
  <si>
    <t>This process describes the activities involved in processing a acceptance request for a drawing under a facility.</t>
  </si>
  <si>
    <t>This process describes the activities involved in  partial prepayment of the loan amount before the due date to reduce the outstanding amount. This can also lead to the pre-closure of a loan if the customer is paying the entire amount due towards the loan before the intended tenure of the loan.</t>
  </si>
  <si>
    <t>Update Settlement Account (RES) *</t>
  </si>
  <si>
    <t>Change Branch (RES) *</t>
  </si>
  <si>
    <t>Change Product (RES) *</t>
  </si>
  <si>
    <t>Process Migration of Accounts or Deposits (RES) *</t>
  </si>
  <si>
    <t>Update Agent Details</t>
  </si>
  <si>
    <t>Update Agent Commission</t>
  </si>
  <si>
    <t>This process describes the activities involved in updating agent commission.</t>
  </si>
  <si>
    <t>This process describes the activities involved in updating Agent Details for various financial products (e.g. Lending, Deposit, Accounts, External products). An agent refers to an individual, group of individuals or firm or company playing the role of an intermediary between the consumer and the bank or financial institution.</t>
  </si>
  <si>
    <t>The process is triggered when the customer requests for exercising the option or where counterparty informs about an assignment. The option is exercised/ assigned and Transact creates a closeout record. On committing the closeout record, system creates Trades on exercise. System can also be parameterised to automatically exercise an Option if predefined conditions are met. On exercising equity option with physical settlement, settlement can be done using an alternate instrument if the same is defined in the contract master. Its contract size and price needs to be entered during closeout process. System also supports cash payout for equity options when SETTLEMENT.METHOD is set to physical or cash respectively.</t>
  </si>
  <si>
    <t>Process Renegotiation of Accounts or Deposits (RES)</t>
  </si>
  <si>
    <t>Process Renegotiation of Accounts or Deposits (RES) *</t>
  </si>
  <si>
    <t>This process describes the activities involved in updation of renegotiated details for accounts or deposits.</t>
  </si>
  <si>
    <t>Add or Remove Party to a Loan (RES)</t>
  </si>
  <si>
    <t>Amend Loan (RES)</t>
  </si>
  <si>
    <t>Close or Adjust Loan for Order Refund (RES)</t>
  </si>
  <si>
    <t>Close or Amend Loan for Order Cancellation (RES)</t>
  </si>
  <si>
    <t>Create Loan for Order Placed (RES)</t>
  </si>
  <si>
    <t>Disburse Loan against Order Shipment Confirmation (RES)</t>
  </si>
  <si>
    <t>Manage Collateral (RES)</t>
  </si>
  <si>
    <t>Perform Payoff Loan Simulation (RES)</t>
  </si>
  <si>
    <t>Perform Simulation of Loan Repayment Schedule (RES)</t>
  </si>
  <si>
    <t>This process describes the activities involved in adding or removing party from a loan account.</t>
  </si>
  <si>
    <t>This process describes the activities involved in the amendment of the loan amount. The loan amount can be increased or decreased based on the threshold limit set in the loan product or based on the underlying facility utilisation.</t>
  </si>
  <si>
    <t>This process describes the activities involved in the adjustment or closure of the loan post acknowledgment of the return of the order by the merchant. The loan is closed for full return of order while the loan principal is adjusted to the extent of return for a partial return.</t>
  </si>
  <si>
    <t>This process describes the activities involved in closing or decreasing loan commitment amount for partial or full cancellation. Order cancellation happens either when customers choose to cancel the order even before the item is shipped or if the merchant cancels the order due not non-availability or feasibility to ship the order. The loan gets closed for full cancellation or for partial cancellation where the loan is amended and commitment is decreased.</t>
  </si>
  <si>
    <t>This process describes the activities involved in the creation of a loan for the order placed. On confirmation of a Buy Now Pay Later (BNPL) product based on simulation results and on order checkout by a customer, a request for loan creation gets placed via the merchant SDK. Facility limit availability and eligibility are validated before loan creation.</t>
  </si>
  <si>
    <t>This process describes the activities involved in the disbursement of the requested loan amount on receiving shipment confirmation.</t>
  </si>
  <si>
    <t>This is a process describes the activities involved in creation and allocation of a collateral.</t>
  </si>
  <si>
    <t>This process describes the activities involved in the simulation of the pre-closure of a loan. The payoff amount comprising principal, interest, fee, or charges on a particular payoff date is shown as a result.</t>
  </si>
  <si>
    <t>This process describes the activities involved in the simulation of a loan repayment schedule. Before the creation of a loan, the customer can be provided with a loan repayment schedule simulated based on terms and conditions, to assist the customer in understanding his repayment obligations.</t>
  </si>
  <si>
    <t>19.1.5 Payment Processes (RES)</t>
  </si>
  <si>
    <t>Amend Payment (ACH) (RES)</t>
  </si>
  <si>
    <t>Amend Payment (ACOTHER) (RES)</t>
  </si>
  <si>
    <t>Execute Account To Account Transfer (ACH) (RES)</t>
  </si>
  <si>
    <t>Execute Account To Account Transfer (ACOTHER) (RES)</t>
  </si>
  <si>
    <t>Execute Fund Transfer (FEDWIRE) (RES)</t>
  </si>
  <si>
    <t>Execute Fund Transfer (SWIFT) (RES)</t>
  </si>
  <si>
    <t>Track Payment Details (SWIFT) (RES)</t>
  </si>
  <si>
    <t>This process describes the activities involved in amendment of payment (ACH).</t>
  </si>
  <si>
    <t>This process describes the activities involved in amendment of payment (ACOTHER).</t>
  </si>
  <si>
    <t>This process describes the activities involved in creation of beneficiary.</t>
  </si>
  <si>
    <t>This process describes the activities involved in transfer of funds from one account to another account through ACH.</t>
  </si>
  <si>
    <t>This process describes the activities involved in transfer of funds from one account to another account (ACOTHER)</t>
  </si>
  <si>
    <t>This process describes the activities involved in transfer of funds through Fedwire.</t>
  </si>
  <si>
    <t>This process describes the activities involved in transfer of funds through SWIFT.</t>
  </si>
  <si>
    <t>This process describes the activities involved in tracking of SWIFT payment details.</t>
  </si>
  <si>
    <t>1.8 Loan Securitisation</t>
  </si>
  <si>
    <t>Amend Loan Securitisation Pool</t>
  </si>
  <si>
    <t>Create Loan Securitisation Pool</t>
  </si>
  <si>
    <t>Perform Loan Securitisation by Bulk Upload</t>
  </si>
  <si>
    <t>This process describes the activities involved in the amendment of securitisation pool.</t>
  </si>
  <si>
    <t>This process describes the activities involved in the creation of creation of securitisation pool. Securitisation pools that have a unique ID and can be linked with loan arrangements. Securitisation Pools hold information of the investor and generic information for the lifecycle of the pool.</t>
  </si>
  <si>
    <t>This process describes the activities involved in performing loan securitisation via bulk upload. Temenos Transact allows the bank to securitise a loan arrangement via Bulk Upload</t>
  </si>
  <si>
    <t>The process relates to issuance of a passbook to a new Customer or to an existing Customer on a specific request.</t>
  </si>
  <si>
    <t>Issue Passbook *</t>
  </si>
  <si>
    <t>Update Passbook *</t>
  </si>
  <si>
    <t>Perform Stress Test on Portfolio (TAP) (Channel)</t>
  </si>
  <si>
    <t>This process describes the steps involved in performing a stress test. Stress Test is an analysis or simulation designed to determine the ability of a given financial instrument or financial institution to deal with an economic crisis. This feature needs the risk module from Edgelab to be configured in the license version for risk calculation.</t>
  </si>
  <si>
    <t>3.4.5.6.1 SIC Credit Transfers</t>
  </si>
  <si>
    <t>3.4.5.6.2 SIC Direct Debits</t>
  </si>
  <si>
    <t>Execute Inward Direct Debit Collection Request (LSV) (SIC)</t>
  </si>
  <si>
    <t>Initiate Cancellation Request for Inward Direct Debit (LSV) (SIC)</t>
  </si>
  <si>
    <t>Set Up Direct Debit Mandate (SIC)</t>
  </si>
  <si>
    <t>The process describes the activities involved in receiving an LSV (Lastschrift Verfahren) type of Direct Debit collection request through pain.001 or D10 message from clearing. Post validation (e.g. duplicate check, mandate), the funds are debited from the customer and credited to the clearing account.</t>
  </si>
  <si>
    <t>3.4.5.13.1 Euro SIC Credit Transfers</t>
  </si>
  <si>
    <t>3.4.5.13.2 Euro SIC Direct Debits</t>
  </si>
  <si>
    <t>Execute Inward Direct Debit Collection Request (LSV) (SIC) *</t>
  </si>
  <si>
    <t>Initiate Cancellation Request for Inward Direct Debit (LSV) (SIC) *</t>
  </si>
  <si>
    <t>Set Up Direct Debit Mandate (SIC) *</t>
  </si>
  <si>
    <t>Initiate Outward Remittance Cancellation Request (FedNow)</t>
  </si>
  <si>
    <t>Credit or Debit Funds to an Account (RES) *</t>
  </si>
  <si>
    <t>18.5.4 Midlife Amendments (AS)</t>
  </si>
  <si>
    <t>Create Beneficiary (RES)</t>
  </si>
  <si>
    <t>18.5.3 Operating Lease (AS)</t>
  </si>
  <si>
    <t>This Process describes the activities involved in managing the Account Sweeps feature that facilitates sweep instructions set up by the user. The Sweep feature automatically transfers or sweeps balances from one account to another.</t>
  </si>
  <si>
    <t>The process describes the activities involved in creation of a Direct Debit mandate.</t>
  </si>
  <si>
    <t>This process describes the activities in printing and updation of a customer passbook.</t>
  </si>
  <si>
    <t>This process describes the activities to view the Future Cash Flow. E.g. Dividends, Payments, Settlements, etc.,</t>
  </si>
  <si>
    <t>This process describes the activities involved in performing amendments to the repayment schedule by making frequency revisions or date changes.</t>
  </si>
  <si>
    <t>This process describes the activities involved in adding or removing a party from an account.</t>
  </si>
  <si>
    <t>This process describes the activities involved in blocking funds for a specific period and the amount or unblocking of funds for an account.</t>
  </si>
  <si>
    <t>This process describes the activities involved in changing a branch for an account.</t>
  </si>
  <si>
    <t>This process describes the activities involved in the creation, updation or deletion of a card.</t>
  </si>
  <si>
    <t>This process describes the activities involved in creating, updating or deleting cheque book requests.</t>
  </si>
  <si>
    <t>This process describes the activities involved in the creation, updation or deletion of standing orders.</t>
  </si>
  <si>
    <t>This process describes the activities involved in the updation of limit in the account.</t>
  </si>
  <si>
    <t>This process describes the activities involved in the updation of settlement account for arrangement accounts.</t>
  </si>
  <si>
    <t>This process describes the activities involved in adding or removing a party from a term deposit.</t>
  </si>
  <si>
    <t>This process describes the activities involved in the early redemption of term deposits.</t>
  </si>
  <si>
    <t>This process describes the activities involved in updating the settlement account of a term deposit.</t>
  </si>
  <si>
    <t>This process describes the activities involved in changing the Interest rate, Interest method and Interest payment frequency for a term deposit account.</t>
  </si>
  <si>
    <t>Create Questionnaire for ESG (TAP) (Channel)</t>
  </si>
  <si>
    <t>Evaluate Questionnaire Assessment for ESG (TAP) (Channel)</t>
  </si>
  <si>
    <t>Manage Access to Portfolio Management (TAP) (Channel)</t>
  </si>
  <si>
    <t>This process describes the steps in creating a new questionnaire. The questionnaire creation allows the admin to curate the questions as per the need of the customers and the assets offered by the organisation. This feature also enables them to frame the questions as per the segregation of various types such as knowledge, sustainability, and risk-averse. The questionnaires can be framed separately for different types of customers and to form questions related to the sustainability of the instruments, the availability of ESG package is a must.</t>
  </si>
  <si>
    <t>This process describes the steps involved in evaluating the questionnaire assessment for ESG (Environmental, social, and governance). The assessment section is to be scored upon the weightage given to each of the options available per question. If the client is a new user or their profile has expired after a certain time, this feature allows the relationship manager to know the client's needs and make offerings based on the same. This section calculates the risk score and sustainability score (if the ESG package is configured) based on the answers provided to the question.</t>
  </si>
  <si>
    <t>This Process describes the activities that are done when the exporter bank expresses a concern with the importer bank and asks for an amendment, after which the importer bank makes the appropriate changes to the application.</t>
  </si>
  <si>
    <t>This Process describes the steps in creating an Export Letter of Credit between the Importer bank and the exporter bank for authentication.</t>
  </si>
  <si>
    <t>This process describes the steps involved in the payment of a letter of credit based on a presentation of documents that comply with the terms and conditions of the letter of credit.</t>
  </si>
  <si>
    <t>Import Quien-es-Quien (QEQ) Watchlist</t>
  </si>
  <si>
    <t>This process describes the activities involved in the import of Quien-es-Quien (QEQ) Watchlist provider.</t>
  </si>
  <si>
    <t>Create Filter and Generate Filter Files for Quien-es-Quien Watchlist</t>
  </si>
  <si>
    <t>3.4.3.4 BPAY Direct Participants</t>
  </si>
  <si>
    <t>Validate and Execute Outward Remittance from Indirect Participant (BPAY)</t>
  </si>
  <si>
    <t>Execute Inward Credit Transfer (BPAY)</t>
  </si>
  <si>
    <t>Execute Reversal or Cancellation Request from Clearing (BPAY)</t>
  </si>
  <si>
    <t>This process describes the activities involved in receiving and processing the payments of incoming Biller Detail Files (BDF) from BPAY clearing. Necessary file level validations are performed on the received BDF file. The received BDF file is debulked into individual transactions upon successfully completing file level validation. Biller code for each transaction gets validated and if successful, the transaction is processed, and settlement entries are posted based on the Master Biller Code. Each time an incoming biller detail file is processed, outward BDF is generated per master biller client including the transactions processed for all the sub-billers linked to the Master Biller. The entire file gets rejected if file level validations are unsuccessful. Manual repair or cancellation is performed for transactions were biller code or facility check validation fails.</t>
  </si>
  <si>
    <t>This process describes the activities involved in receiving and processing the incoming IBP files received from payer clients. Necessary file level validations are performed on receipt of the file. After the successful validation, the file is debulked to perform the processing of individual transactions. Payer account balance check is performed to ensure sufficient fund availability. The total payable amount is locked if sufficient funds are available. Post completion of the individual transaction all payments are collated into a single Payment Details File (PDF) and sent to BPAY before the defined cut-off time. The transaction gets cancelled if the payer account has insufficient funds. The file gets rejected if any errors are found during file level validations.</t>
  </si>
  <si>
    <t>Perform Instant Payment Screening</t>
  </si>
  <si>
    <t>This process describes the activities involved in receiving FedNow Instant payments from customers. Necessary validations (e.g. duplicate check) are performed before processing the remittance. Post validations, pacs.008 is sent to Clearing (FedNow). An investigation message (pacs.028) is sent if no response is received from clearing. On receiving a rejection response (admi.002/ pacs.002 (RJCT)) the transaction gets rejected. On receiving a positive response (pacs.002 (ACSC/ACWP)) from FedNow participant, the accounting entries get posted and the customer is notified. If negative response pacs.002 (RJCT) is received from FedNow participant, then the transaction will be rejected and notified to the customer.</t>
  </si>
  <si>
    <t>This process describes the activities involved in receiving and processing a reversal request (camt.056) for an Inward remittance from clearing (FedNow). The reversal request is accepted, rejected, or marked as pending and a response (camt.029) is sent to clearing. If no response is received from Clearing, an investigation message (pacs.028) is sent Based on the response received for camt.029 message from clearing, the reversal request is accepted (admi.007) or rejected (admi.002). The transaction is rejected If reject response admi.002/ pacs.002 (RJCT) is received for pacs.004 message from clearing. For pacs.004 message, if a positive response is received from FedNow participant, pacs.002 (ACSC/ACWP) then accounting entries are posted and the customer is notified. For pacs.004 message, if negative response pacs.002 (RJCT) is received from FedNow participant, then the transaction will be rejected and notified to the customer.</t>
  </si>
  <si>
    <t>Amend Mudaraba Facility (IF)</t>
  </si>
  <si>
    <t>This process describes the activities involved in amending an existing Mudaraba facility arrangement account by a bank or as requested by a customer. The following amendments are allowed in a facility arrangement. - Inclusion/ removal of allowed products (drawing) - Renegotiate Arrangement - Update Account Details and Posting Restrictions - Adjust Balances and Bills - Change Customer - Change Charges - Change Profit - Update Limit Link.</t>
  </si>
  <si>
    <t>Close Mudaraba Facility (IF)</t>
  </si>
  <si>
    <t>This process describes the activities involved in the closure of a Mudaraba facility arrangement. A facility can be closed only if all underlying finances are closed. A payment order is initiated for repayment of the facility outstanding amounts. Post settlement the underlying finance arrangements and facility are auto closed.</t>
  </si>
  <si>
    <t>Create Mudaraba Facility (IF)</t>
  </si>
  <si>
    <t>This process describes the activities involved in creating a standalone Mudaraba facility arrangement for a customer. Facility arrangement details, variable or fixed limit, commitment amortisation schedule and payment method are captured based on customer request. During the facility's tenure, the customer can utilise the agreed amount by performing a drawdown on the facility and creating finance arrangements.</t>
  </si>
  <si>
    <t>Perform Disbursement of Mudaraba Drawings Under Facility Arrangement (IF)</t>
  </si>
  <si>
    <t>This process describes the activities involved in the disbursement of funds from a drawing arrangement. The Payout Beneficiary for the arrangement is checked and funds are disbursed as per schedule. If Payout Beneficiary is unavailable the funds are disbursed manually.</t>
  </si>
  <si>
    <t>Perform Mudaraba Drawings Under Facility Arrangement (IF)</t>
  </si>
  <si>
    <t>Manage ESG Portfolio Valuation and Compliance (TAP) (Channel)</t>
  </si>
  <si>
    <t>This process describes the activities involved in updating or viewing account arrangement facilities requests like Cheque, Card or Sweep.</t>
  </si>
  <si>
    <t>This process depicts activities related to applying payment holidays to loans.</t>
  </si>
  <si>
    <t>This process describes the activities involved in the creation of a loan.</t>
  </si>
  <si>
    <t>This process describes the activities involved in creating a loan drawdown offer from the facility.</t>
  </si>
  <si>
    <t>The process describes activities involved in the manual disbursement of loans.</t>
  </si>
  <si>
    <t>This process describes the activities involved in executing Charges Off on the customer loan account. Based on the Charge Off type (full or partial), the Charge Off amount is updated in the loan.</t>
  </si>
  <si>
    <t>This process describes the activities involved in adding, updating, or removing posting restrictions on a given account. When a transaction is done impacting the account, an overriding message is triggered stating the posting restriction on the account. The restrictions can be given at the customer or account level.</t>
  </si>
  <si>
    <t>This process describes the activities involved in a loan's early closure (Payoff). Customers can pre-close a loan before the maturity date, by paying off the outstanding amount. When the customer pays off the outstanding amount (principal, interest to date and penalties), the loan is closed.</t>
  </si>
  <si>
    <t>This process describes the activities involved in the loan repayment by the customer. Banks can use this feature to make payments of overdue amounts or effect partial prepayments on a loan if no amounts are outstanding. Banks can restrict excess payments over and above the due amount or impose a charge for excess payment if allowed.</t>
  </si>
  <si>
    <t>This process describes the activities involved in creating, updating or viewing evidence requirements for Loans or facilities.</t>
  </si>
  <si>
    <t>This process describes the activities involved in the migration of loans and their corresponding bills and balances.</t>
  </si>
  <si>
    <t>This process describes the activities involved in processing an acceptance request for a drawing under a facility.</t>
  </si>
  <si>
    <t>This process describes the activities involved in the creation of beneficiaries.</t>
  </si>
  <si>
    <t>This process describes the activities involved in the transfer of funds through SWIFT.</t>
  </si>
  <si>
    <t>This process describes the activities involved in the tracking of SWIFT payment details.</t>
  </si>
  <si>
    <t>This process begins with Customer Activity status being checked for all customers linked to the contract as a main or joint holder and prospective customer (captured in PERSON.ENTITY application). The bank initiates the erasure process for customers/ prospect whose personal data needs to be erased. Personal data of the inactive customers/ prospects is erased, provided the "Do Not Erase" flag is not set. On the customer being inactive, the automatic consent arrangement is blocked. Post the erasure process, the automatic consent arrangement is closed.</t>
  </si>
  <si>
    <t>This process describes the activities involved in creating and linking a collateral to a limit.</t>
  </si>
  <si>
    <t>This process describes the activities involved in the initiation of a cancellation request for a settled LSV (Lastschrift Verfahren) type of Direct Debit collection. Cancellation request is initiated via camt.056 only if the transaction is within acceptance days. The accounting entries are generated, and the Customer is informed once pacs.004 (positive response) is received.</t>
  </si>
  <si>
    <t>This process describes the steps involved in adjusting the security context to enable/ disable access to selected business units for a Portfolio Management User.</t>
  </si>
  <si>
    <t>This process describes the set of activities involved in performing an Instant Payments Screening.</t>
  </si>
  <si>
    <t>This process describes the activities involved in performing the Mudaraba drawdown by creating arrangements under the facility based on the allowed products set. A drawdown cannot be performed for a blocked facility or in case of insufficient commitment balance. Arrangement details along with Repayment Method, Repayment Schedule and Settlement Instructions are captured.</t>
  </si>
  <si>
    <t>3.4.6.1.1 HK-FPS Batch Payments</t>
  </si>
  <si>
    <t>3.4.6.1.2 HK-FPS Instant Payments</t>
  </si>
  <si>
    <t>Execute Inward Batch Credit Transfer (HK-FPS)</t>
  </si>
  <si>
    <t>This process describes the activities involved in processing HK-FPS Batch payments. The file is debulked and individual transactions are created. Necessary validations are performed, and funds get credited to the beneficiary. A supplementary information feedback message (pacs 002) is sent to clearing. If a transaction is incorrect, it can be automatically cancelled else manually repaired or cancelled.</t>
  </si>
  <si>
    <t>Financial Risk Management Processes</t>
  </si>
  <si>
    <t>20.1 Credit Risk</t>
  </si>
  <si>
    <t>Calculate Probability of Default Using Macro Economic Model</t>
  </si>
  <si>
    <t>This process pertains to the calculation of PD (Probability of Default) using the Macro Economic Model. The probability of default (PD) is the probability of a borrower or debtor defaulting on loan repayments.</t>
  </si>
  <si>
    <t xml:space="preserve">Financial Risk Management illustrates various approaches or methodologies for risk management using reporting tools and techniques.
</t>
  </si>
  <si>
    <t>This process describes the activities involved in creating a Retail Customer.</t>
  </si>
  <si>
    <t>The process deals with updating of the Charge group to which Customer belongs. Transact by default based on the setup, allocates a charge group to the customer on creation of customer record. However, it can be updated at a later stage, which is handled through this process. Based on the charge group to which customer is associated, charges will be taken during transaction.</t>
  </si>
  <si>
    <t>This process describes the activities for the execution of Sri Lankan RTGS Bulk payments received in favour of clients. Post validation, funds are credited to beneficiary. If a payment is incorrect it can be manually repaired or cancelled.</t>
  </si>
  <si>
    <t>This process describes the ESG Solution that can be used to assess Portfolio sustainability status by global ESG scores. The following can be achieved using the ESG Solution:- Assess allocation by Sustainability Rating.- Filter Positions by ESG Rating.- View individual ESG Scores and Controversies Scores.- Find the best-suited instruments using the Sustainability Criteria.</t>
  </si>
  <si>
    <t>This process depicts the tasks involved in the impairment/ amendment/ unimpaired loan. A loan is impaired when, based on current information and events, it is probable that the bank will be unable to collect all amounts due according to the contractual terms of the loan agreement.</t>
  </si>
  <si>
    <t>Execute Inward Cancellation Request from Clearing (AURTGS)</t>
  </si>
  <si>
    <t>Execute Inward Credit Transfer (AURTGS)</t>
  </si>
  <si>
    <t>Initiate Outward Cancellation Request (AURTGS)</t>
  </si>
  <si>
    <t>Receive and Execute Outward Remittance (AURTGS)</t>
  </si>
  <si>
    <t>This process describes the activities involved in processing inward credit cancellation request from AURTGS clearing. Post validation, the beneficiary of inward credit is debited and the message is sent to clearing. Based on the response received, the cancellation request is accepted or rejected.</t>
  </si>
  <si>
    <t>This flow describes the activities involved in receiving and processing an incoming customer or bank credit transfers (pacs.008 &amp; pacs.009) from clearing.</t>
  </si>
  <si>
    <t>This process describes the activities involved in initiating an AURTGS cancellation request (camt.056) of outward remittance by a Customer or Bank. Based on the response received, the recall request is accepted or rejected.</t>
  </si>
  <si>
    <t>This process describes the activities involved in receiving AURTGS payment requests from customers. Necessary validations (e.g., duplicate checks, etc.) are performed before processing the remittance. On successful validation, the message is sent to Clearing based on the type of transfer.  Incorrect payments are manually cancelled or repaired by the operator. Based on the network acknowledgement received, payment is completed, or accounting entries are reversed.</t>
  </si>
  <si>
    <t>Initiate Request for Information Against Remittance (FedNow)</t>
  </si>
  <si>
    <t>This process describes the activities involved in initiating a cancellation request (camt.056) for an outward remittance. The cancellation request is acknowledged from Clearing if admi.007 is received or rejected from clearing if an admi.002 is received. For camt.029 received, the cancellation request is accepted, rejected, or marked as pending. For the pacs.004 message received, the cancellation request is processed and the Customer is credited.</t>
  </si>
  <si>
    <t>3.4.6.3 Hongkong CHATS Clearing</t>
  </si>
  <si>
    <t>This process describes the activities involved in executing Inward credit transfer from Hong Kong CHATS (Clearing House Automated Transfer System) Clearing. Post validation and sanctions, funds are credited. If validation fails, the transaction is auto-returned or manually repaired or returned.</t>
  </si>
  <si>
    <t>This process describes the activities involved in initiating a Hong Kong CHATS cancellation request (camt.056) of outward remittance by a Customer or Bank. Based on the response received, the recall request is accepted or rejected.</t>
  </si>
  <si>
    <t>The process describes the activities involved in processing the return of Hong Kong CHATS (Clearing House Automated Transfer System) outward remittance. If the original transaction is identified and necessary validation is passed, the funds will be credited to customer account. If validation fails, the transaction can be manually repaired or returned.</t>
  </si>
  <si>
    <t>This process describes the activities involved in receiving a Hong Kong CHATS (Clearing House Automated Transfer System) response from Clearing for an initiated return message (pacs.004). If a positive response is received, payment is completed. If a negative response is received, the transaction is completed or reversed.</t>
  </si>
  <si>
    <t>This process describes the activities involved in receiving Hong Kong CHATS (Clearing House Automated Transfer System) payment requests from customers. Necessary validations (e.g., duplicate checks, etc.) are performed before processing the remittance. On successful validation, the message is sent to Clearing based on the type of transfer.  Incorrect payments are manually cancelled or repaired by the operator. Based on the network acknowledgement received, payment is completed, or accounting entries are reversed.</t>
  </si>
  <si>
    <t>Execute Inward Credit Transfer (HK CHATS)</t>
  </si>
  <si>
    <t>Initiate Outward Cancellation Request (HK CHATS)</t>
  </si>
  <si>
    <t>Process Return of Outward Remittance (HK CHATS)</t>
  </si>
  <si>
    <t>Process Return Response Received from Clearing (HK CHATS)</t>
  </si>
  <si>
    <t>Receive and Execute Outward Remittance (HK CHATS)</t>
  </si>
  <si>
    <t>Manage Balance Cure Service in Overdraft Accounts</t>
  </si>
  <si>
    <t>This process describes the activities involved in the activation, modification, and de-activation of the balance cure service for an overdraft account.</t>
  </si>
  <si>
    <t>Re-open Closed Customer</t>
  </si>
  <si>
    <t>Close Customer</t>
  </si>
  <si>
    <t>This process describes the activities to be performed to re-open the customer record that has been marked as closed.</t>
  </si>
  <si>
    <t>Set Up Overdraft Protection</t>
  </si>
  <si>
    <t>Manage Non-Sufficient Fund (NSF) Charges for Overdrawn Accounts</t>
  </si>
  <si>
    <t>This process describes the activities involved in setting up a new overdraft protection or modification of the existing one to include any particular transaction based on the Customer request.</t>
  </si>
  <si>
    <t>This process describes the activities involved in reviewing of exception records created during overdrawn transactions in accounts and updating the Funds Decision, Charge decision, and Overdrawn Charge Amount during COB based on the Non-Sufficient Funds (NSF) Parameter Configuration.</t>
  </si>
  <si>
    <t>Process Golden Source of Corporate Action Notifications</t>
  </si>
  <si>
    <t>5.3.2.4 Common Processes</t>
  </si>
  <si>
    <t>13.8 Confirmation of Payee (CoP)</t>
  </si>
  <si>
    <t>Create and Manage Confirmation of Payee (CoP) Requests</t>
  </si>
  <si>
    <t>Perform Online Data Provisioning for CoP Service Provider</t>
  </si>
  <si>
    <t>Perform Account Modulus Check</t>
  </si>
  <si>
    <t>This process describes activities involved in performing modulus checks for external UK sort codes and account numbers on initiation of any transaction including payment transactions, current account switch, etc. A modulus check is performed to help the initiating bank restrict transactions from getting rejected due to incorrect account numbers.</t>
  </si>
  <si>
    <t>11.1.5 Beneficiary Services</t>
  </si>
  <si>
    <t>This process describes the activities involved in the updation of the beneficiary account details based on the incoming redirection notification file from the Clearing service. This process aids banks in processing payments for cases where a customer has switched accounts from one bank to another using the current account switch service. The clearing system will automatically redirect the payment to the new institution to which the account has been switched.</t>
  </si>
  <si>
    <t>11.1.6 BBSI Reporting</t>
  </si>
  <si>
    <t>Configure BBSI Parameter</t>
  </si>
  <si>
    <t>Generate BBSI Report</t>
  </si>
  <si>
    <t>This process describes the configuration of the parameters related to the generation of the BBSI report. This includes the configuration of UKBBSI.TAX.PARAMETER for storing details such as the bank member ID, the maximum reporting days, the sector ranges for retail or commercial customers, etc. Further, the credit interest property for a new liability product - account or deposit needs to be included in the parameter table to enable reporting for the product.</t>
  </si>
  <si>
    <t>This process describes the steps involved in the generation of the BBSI (Bank and Building Society Interest) report that is to be filed by the banks in the UK as part of their regulatory obligations. The report contains the details of customers and their accounts and deposit products for which an interest income was earned during the tax year. The report acts as a reconciliation tool for the regulatory authority to cross-check if the taxes paid by the customers are in line with the income earned by the customer.</t>
  </si>
  <si>
    <t>Calculate Loss Given Default Using Realised Model</t>
  </si>
  <si>
    <t>Calculate Loss Given Default Using Workout Model</t>
  </si>
  <si>
    <t>This process describes the activities involved in calculating loss given default using the realised model.</t>
  </si>
  <si>
    <t>This process describes the activities involved in the calculation of loss given default using the workout model.</t>
  </si>
  <si>
    <t>20.2 Market Risk</t>
  </si>
  <si>
    <t>This process describes the activities involved in the calculation of Value at Risk (VaR) for Equities using the Historical Method. Value at Risk (VaR) is a statistical measure of the risk that estimates the maximum loss that can be experienced on a portfolio with a given level of confidence. VaR always comes with a probability that says how likely it is that the losses will be smaller than the amount given. VaR is typically calculated for 1 day known as the holding period and is often calculated with 95% confidence.</t>
  </si>
  <si>
    <t>This process describes the activities of calculating Value at Risk (VaR) for Equities using the Parametric Method. Value at Risk (VaR) is a statistical measure of the risk that estimates the maximum loss that can be experienced on a portfolio with a given level of confidence. VaR always comes with a probability that says how likely it is that the losses will be smaller than the amount given. VaR is typically calculated for 1 day known as the holding period and is often calculated with 95% confidence.</t>
  </si>
  <si>
    <t>Receive and Execute Outward Batch Remittance (HK-FPS)</t>
  </si>
  <si>
    <t xml:space="preserve">This process describes the activities involved in receiving HK-FPS Batch payment requests from customers. Necessary validations (e.g., duplicate checks, etc.) are performed before processing the remittance. On successful validation, the customer is debited and the message is sent to Clearing.  Incorrect payments are manually canceled or repaired by the operator. Based on the network acknowledgement received, payment is completed, or accounting entries are reversed.
</t>
  </si>
  <si>
    <t>Execute Inward Information Request against Remittance (FedNow)</t>
  </si>
  <si>
    <t>This process describes the activities involved in receiving and processing an Information Request for a customer credit transfer (pacs.008) or return payment (pacs.004) that was sent or received earlier. Post successful syntax validation, a Receipt Acknowledgement (admi.007) message is sent. An Information Request Response (camt.029) is sent with status code IPAY (Payment Initiated), IDUP (Duplicate Payment), NINF (No further information available), PDNG (Pending) and INFO (Additional Information Sent) based on the nature of the request. The additional payment information is sent through camt.028 in case an Information request response (camt.029) is sent with the status code INFO. Receipt Acknowledgement (admi.007) message is received as an acknowledgement of receipt from clearing as well as from the receiver of camt.029 and/or in case of any validation failure, clearing will send a Message Reject (admi.002 message).</t>
  </si>
  <si>
    <t>19.2.5 Trade Finance Processes (BCES)</t>
  </si>
  <si>
    <t>Amend Import LC (BCES)</t>
  </si>
  <si>
    <t>Issue Guarantee (BCES)</t>
  </si>
  <si>
    <t>Issue Import LC (BCES)</t>
  </si>
  <si>
    <t>Pay or Reject Claim (BCES)</t>
  </si>
  <si>
    <t>The process describes activities to perform amendments of Import LC.</t>
  </si>
  <si>
    <t>This process describes activities involved in issuing a Guarantee on receipt of a request.</t>
  </si>
  <si>
    <t>The process describes the activities involved in the approval and issuance of Import LC.</t>
  </si>
  <si>
    <t>This process describes the activities involved in the payment or rejection of a claim request raised.</t>
  </si>
  <si>
    <t>19.2.1 Accounts Processes (BCES)</t>
  </si>
  <si>
    <t>Add or Remove Party from Account (BCES)</t>
  </si>
  <si>
    <t>Apply or Remove Posting Restriction (BCES)</t>
  </si>
  <si>
    <t>Block or Unblock Funds in Account (BCES)</t>
  </si>
  <si>
    <t>Change Branch (BCES)</t>
  </si>
  <si>
    <t>Change Product (BCES)</t>
  </si>
  <si>
    <t>Close Account (BCES)</t>
  </si>
  <si>
    <t>Create Account (BCES)</t>
  </si>
  <si>
    <t>Credit or Debit Funds to an Account (BCES)</t>
  </si>
  <si>
    <t>Manage Card Request (BCES)</t>
  </si>
  <si>
    <t>Manage Cheque Book Request (BCES)</t>
  </si>
  <si>
    <t>Manage Request for Account Facilities (BCES)</t>
  </si>
  <si>
    <t>Manage Standing Order (BCES)</t>
  </si>
  <si>
    <t>Manage Sweep (BCES)</t>
  </si>
  <si>
    <t>Manage Withdrawal Notice (BCES)</t>
  </si>
  <si>
    <t>Process Migration of Accounts or Deposits (BCES)</t>
  </si>
  <si>
    <t>Process Renegotiation of Accounts or Deposits (BCES)</t>
  </si>
  <si>
    <t>Stop Payment of Cheque (BCES)</t>
  </si>
  <si>
    <t>Update Account Status (BCES)</t>
  </si>
  <si>
    <t>Update Interest details (BCES)</t>
  </si>
  <si>
    <t>Update Limit (BCES)</t>
  </si>
  <si>
    <t>Update Settlement Account (BCES)</t>
  </si>
  <si>
    <t>Update Statement Frequency of Account (BCES)</t>
  </si>
  <si>
    <t>19.2.2 Term Deposit Processes (BCES)</t>
  </si>
  <si>
    <t>Add or Remove Party from Term Deposit (BCES)</t>
  </si>
  <si>
    <t>Apply or Remove Posting Restriction to Term Deposit (BCES)</t>
  </si>
  <si>
    <t>Block or Unblock Funds in Term Deposit (BCES)</t>
  </si>
  <si>
    <t>Create Term Deposit (BCES)</t>
  </si>
  <si>
    <t>Fund Term Deposit (BCES)</t>
  </si>
  <si>
    <t>Perform Early Redemption of Term Deposit (BCES)</t>
  </si>
  <si>
    <t>Perform Manual Rollover of Term Deposit (BCES)</t>
  </si>
  <si>
    <t>Perform Partial Withdrawal of Term Deposit (BCES)</t>
  </si>
  <si>
    <t>Perform Settlement of Term Deposit on Maturity (BCES)</t>
  </si>
  <si>
    <t>Update Settlement Account for Term Deposit (BCES)</t>
  </si>
  <si>
    <t>Update Term Deposit Interest Details (BCES)</t>
  </si>
  <si>
    <t>Process Migration of Accounts or Deposits (BCES) *</t>
  </si>
  <si>
    <t>Process Renegotiation of Accounts or Deposits (BCES) *</t>
  </si>
  <si>
    <t>Change Product (BCES) *</t>
  </si>
  <si>
    <t>Change Branch (BCES) *</t>
  </si>
  <si>
    <t>19.2.3 Lending Processes (BCES)</t>
  </si>
  <si>
    <t>Amend Facility (BCES)</t>
  </si>
  <si>
    <t>Amend Repayment Date or Frequency (BCES)</t>
  </si>
  <si>
    <t>Amend Settlement or Repayment Account Details (BCES)</t>
  </si>
  <si>
    <t>Apply Payment Holiday (BCES)</t>
  </si>
  <si>
    <t>Create Loan (BCES)</t>
  </si>
  <si>
    <t>Create Loan Drawdown Offer (BCES)</t>
  </si>
  <si>
    <t>Disburse Loan (Manual) (BCES)</t>
  </si>
  <si>
    <t>Execute Charge Off (BCES)</t>
  </si>
  <si>
    <t>Manage Posting Restriction (BCES)</t>
  </si>
  <si>
    <t>Pay off Loan (BCES)</t>
  </si>
  <si>
    <t>Perform Facility Closure (BCES)</t>
  </si>
  <si>
    <t>Perform Loan Drawdown Negotiation (BCES)</t>
  </si>
  <si>
    <t>Perform Loan Repayment (BCES)</t>
  </si>
  <si>
    <t>Manage Evidence Request (BCES)</t>
  </si>
  <si>
    <t>Process Migration of Loan (BCES)</t>
  </si>
  <si>
    <t>Perform Payment Holiday Simulation (BCES)</t>
  </si>
  <si>
    <t>Process Loan Drawdown Acceptance (BCES)</t>
  </si>
  <si>
    <t>Process Partial Prepayment (BCES)</t>
  </si>
  <si>
    <t>Register for Buy Now Pay Later (BCES)</t>
  </si>
  <si>
    <t>Perform Loan Simulation on Eligible Products (BCES)</t>
  </si>
  <si>
    <t>Write-off Loan (BCES)</t>
  </si>
  <si>
    <t>19.2.4 Payment Processes (BCES)</t>
  </si>
  <si>
    <t>Create Beneficiary (BCES)</t>
  </si>
  <si>
    <t>Credit or Debit Funds to an Account (BCES) *</t>
  </si>
  <si>
    <t>Execute Fund Transfer (SWIFT) (BCES)</t>
  </si>
  <si>
    <t>Track Payment Details (SWIFT) (BCES)</t>
  </si>
  <si>
    <t>This process describes the activities involved in the amendment of facility amount based on customer request. BCES service offers to increase or decrease facility amounts for an existing BCES customer. The customer can request the BCES provider for an increase or decrease in the facility amount. Based on the customer's creditworthiness and financial history analysis, the BCES provider decides whether to approve the facility modification request.</t>
  </si>
  <si>
    <t>19.2 Business and Corporate Enterprise Service (BCES)</t>
  </si>
  <si>
    <t>Calculate Value at Risk for Equities Using Historical Method</t>
  </si>
  <si>
    <t>Calculate Value at Risk for Equities Using Parametric Method</t>
  </si>
  <si>
    <t>This process describes the activities involved in requesting more information by a FedNow Participant about the customer credit transfer (pacs.008) or return payment (pacs.004) that was sent or received earlier. Receipt Acknowledgement (admi.007) message is received as an acknowledgement of receipt from clearing as well as from the receiver of camt.029 and/or in case of any validation failure, clearing will send a Message Reject (admi.002 message). The camt.029 is received in response with status code IPAY (Payment Initiated), IDUP (Duplicate Payment), NINF (No further Information available), PDNG (Pending ) and INFO (Additional Information Sent). For camt.028, the additional payment details are received and updated.</t>
  </si>
  <si>
    <t>Register Inward Collection (BCES)</t>
  </si>
  <si>
    <t>Amend Guarantee (BCES)</t>
  </si>
  <si>
    <t>This Process describes the activities involved in handling guarantee amendment requests.</t>
  </si>
  <si>
    <t>Initiate Export LC Drawing (BCES)</t>
  </si>
  <si>
    <t>This process describes the activities to be undertaken upon presentation of LC documents. The documents are registered and checked for discrepancies. In case the documents are clean, then they are accepted and sent for settlement.</t>
  </si>
  <si>
    <t>Initiate Import LC Drawing (BCES)</t>
  </si>
  <si>
    <t>The process describes the activities to be undertaken upon presentation of Import LC documents. The documents are registered and checked for discrepancies. In case the documents are clean, then they are accepted and sent for settlement.</t>
  </si>
  <si>
    <t>Issue Shipping Guarantee Against Import LC (BCES)</t>
  </si>
  <si>
    <t>This process describes the activities involved in the issuance of a shipping guarantee based on the request from the Importer, in case shipping documents are yet to be received.</t>
  </si>
  <si>
    <t>Register Claim for Guarantee Received (BCES)</t>
  </si>
  <si>
    <t>The process describes the activities involved in registering the claim for the guarantee received.</t>
  </si>
  <si>
    <t>Register Export LC (BCES)</t>
  </si>
  <si>
    <t>Register Outward Collection (BCES)</t>
  </si>
  <si>
    <t>Create Cash Management Structure (BCES)</t>
  </si>
  <si>
    <t>This process describes the activities involved in handling a request for the creation of a cash management structure (bundle).</t>
  </si>
  <si>
    <t>19.2.6 Cash Management Processes (BCES)</t>
  </si>
  <si>
    <t>This process describes the activities involved when the creation of export documentary collection is initiated by the collecting bank.</t>
  </si>
  <si>
    <t>Calculate Value at Risk for Bonds Using Historical Method</t>
  </si>
  <si>
    <t>Calculate Value at Risk for Bonds Using Parametric Method</t>
  </si>
  <si>
    <t>Configure Yield Curve Modelling</t>
  </si>
  <si>
    <t>This process describes the activities involved in the calculation of Value at Risk (VaR) for Bonds using the Historical Method. Value at Risk (VaR) is a statistical measure of the risk that estimates the maximum loss that can be experienced on a portfolio with a given level of confidence. VaR always comes with a probability that says how likely it is that the losses will be smaller than the amount given. VaR is typically calculated for 1 day known as the holding period and is often calculated with 95% confidence.</t>
  </si>
  <si>
    <t>This process describes the activities of calculating Value at Risk (VaR) for Bonds using the Parametric Method. Value at Risk (VaR) is a statistical measure of the risk that estimates the maximum loss that can be experienced on a portfolio with a given level of confidence. VaR always comes with a probability that says how likely it is that the losses will be smaller than the amount given. VaR is typically calculated for 1 day known as the holding period and is often calculated with 95% confidence.</t>
  </si>
  <si>
    <t>This process describes the activities involved in the Yield Curve Modelling for pricing of Bonds and calculation of VaR (Value at Risk).</t>
  </si>
  <si>
    <t>11.8 Mexico Specific Processes</t>
  </si>
  <si>
    <t>11.8.1 Customer Creation</t>
  </si>
  <si>
    <t>11.8.2 Account Compliance</t>
  </si>
  <si>
    <t>Create Corporate Customer (MXMB)</t>
  </si>
  <si>
    <t>Create Retail Customer (MXMB)</t>
  </si>
  <si>
    <t>Create Arrangement Account (MXMB)</t>
  </si>
  <si>
    <t>This process describes the activities involved in the creation of a Retail Customer.</t>
  </si>
  <si>
    <t>This Process describes the opening of an individual or corporate account and the automatic generation of Account CLABE (Clave Bancaria Estandarizada) ID which is mandatory to be generated as part of the account creation process.</t>
  </si>
  <si>
    <t>3.5.4 United States</t>
  </si>
  <si>
    <t>Process FedNow Request for Payment Response</t>
  </si>
  <si>
    <t>Receive and Execute Inward FedNow Request for Payment</t>
  </si>
  <si>
    <t>This process describes the activities involved in receiving an acknowledgment (admi.007) from Clearing. In case of any validation failure, clearing sends a message reject (admi.002) and the rejected message (pain.014) is resubmitted.</t>
  </si>
  <si>
    <r>
      <t xml:space="preserve">Enterprise Services Processes 
</t>
    </r>
    <r>
      <rPr>
        <b/>
        <u/>
        <sz val="10"/>
        <rFont val="Arial"/>
        <family val="2"/>
      </rPr>
      <t>Retail Enterprise Services (RES)</t>
    </r>
    <r>
      <rPr>
        <b/>
        <sz val="10"/>
        <rFont val="Arial"/>
        <family val="2"/>
      </rPr>
      <t xml:space="preserve"> covers the opening and closing of Accounts, Term Deposits, Transferring funds, maintenance, closure of the Accounts/ Term Deposits, Multi-Currency Accounts and lending with payment capabilities.
</t>
    </r>
    <r>
      <rPr>
        <b/>
        <u/>
        <sz val="10"/>
        <rFont val="Arial"/>
        <family val="2"/>
      </rPr>
      <t>Business and Corporate Enterprise Service (BCES)</t>
    </r>
    <r>
      <rPr>
        <b/>
        <sz val="10"/>
        <rFont val="Arial"/>
        <family val="2"/>
      </rPr>
      <t xml:space="preserve"> covers the opening and closing of Accounts, Term Deposits, Transferring funds, maintenance, Payments, closure of the Accounts/ Term Deposits, Cash Management, Trade Finance &amp; Guarantees and lending.</t>
    </r>
  </si>
  <si>
    <t>Amend Export LC (BCES)</t>
  </si>
  <si>
    <t>The process describes the activities involved in receiving and advising the Amendment of Export LC to the exporter.</t>
  </si>
  <si>
    <t xml:space="preserve">This process describes the activities involved in the registration of Export LC documents.
</t>
  </si>
  <si>
    <t>The process describes activities for registration of inward collection.</t>
  </si>
  <si>
    <t>3.5.4.1 FedNow Request for Payment</t>
  </si>
  <si>
    <t xml:space="preserve">This process describes the activities involved in receiving and processing an Inward Request for Payment (RfP). On receiving the Request for Payment (pain.013) message, a receipt acknowledgement (admi.007) message is sent to Clearing. Based on the customer's response, the Request for Payment (RfP) response (pain.014) message is sent with the status code (RCVD, PRES, ACTC, RJCT).
</t>
  </si>
  <si>
    <t>11.1.4 Account Modulus Check</t>
  </si>
  <si>
    <t>Process Beneficiary Service for Account Switch</t>
  </si>
  <si>
    <t>This process describes the activities involved in the closure of a customer record. Pre-closure checks are run to identify whether the customer has any active financial and non-financial contracts (relationships links in accounts). Exit status and exit reason are captured before closing the customer record.</t>
  </si>
  <si>
    <t>This process describes the management of CoP Opt out/ In customer requests by the bank. CoP is a service that checks account and reference details when the payer sets up a new beneficiary/payee. By default, all customers are registered for the CoP scheme. Exceptionally, banks (CoP Responder) may allow their customers to opt out of the CoP scheme for accounts held by the customer with the option to opt in again. A Customer will therefore request to opt out via a phone call/form to the Customer Service Team via existing practices and rules. Management of opt-in/out is handled in Transact against the customer in COP.OPT.IN.OUT application. This enables the bank user to record an explicit request from the customer and either approve or reject it after review.</t>
  </si>
  <si>
    <t>This process describes the activities involved in receiving a FedNow instant Credit transfer payment. Post syntax validations, Payment validations (e.g. Credit account determination, duplicate check) are performed and if validations are unsuccessful, then a negative response (pacs.002) with the code “RJCT” is sent to FedNow clearing. If validation is successful, a positive response (pacs.002) with the code “ACTC” is sent to FedNow clearing. Based on the response received the payment is either processed, rejected or resubmitted and the customer is notified.</t>
  </si>
  <si>
    <t>This process describes the activities involved in the provisioning of online data for the Confirmation of Payee (CoP) service provider. The Payee data is retrieved via an API call exposed by Transact Bank (CoP responder bank). This process facilitates an action from Transact Bank (CoP responder bank) to include payee account information in its response to the CoP service provider's request which is a real-time online data provisioning whenever the request is placed via API data exchange (in the pre-agreed format and schema with the CoP service provider).</t>
  </si>
  <si>
    <t>This process describes the activities involved in identifying the Golden Source of Corporate Action Notifications when the system is configured to receive CA notifications from multiple market providers. The system validates the sender details from SC.CA.MKT.PROVIDER using the BIC address of the sender.  The system then validates the sender as Custodian (if the sender is configured in CUSTOMER.SECURITY as DEPOSITORY) or Non-custodian.  The event attributes such as EVENT.TYPE, ISIN, EX.DATE and PAY.DATE is used to identify the uniqueness of the event when the messages are received from multiple market providers.  The pre-diaries from various providers are linked with a common reference.  This reference is unique to the respective event.  The user can further reconcile this information using the report which is based on SC.PRE.DIARY with GOLDEN.SOURCE.REFERENCE.</t>
  </si>
  <si>
    <t>Record and Manage Foreign Currency Assets</t>
  </si>
  <si>
    <t>Initiate Recallable Return of Capital</t>
  </si>
  <si>
    <t>This process describes the steps involved in handling the recallable return of capital in Private Equity. Recallable Capital is an event where the capital distributed can be called back for investment in the PE fund. The recallable portion of the capital can be equal to or less than the capital returned. On receipt of the "Recallable capital" notice, the customer's undrawn commitment amount is increased accordingly.</t>
  </si>
  <si>
    <t>Generate Deal Pricing for Fixed Rate Bonds</t>
  </si>
  <si>
    <t>Generate Deal Pricing for Swap</t>
  </si>
  <si>
    <t>Generate Deal Pricing for FX Forward</t>
  </si>
  <si>
    <t>Generate Deal Pricing for European Options</t>
  </si>
  <si>
    <t>This process defines how various charges like Transaction charges, Safekeeping charges, and Advisory charges are set up in the system. Transact now supports calculation of Add-on safekeeping and management fees that are configured for a particular customer group and for specific asset type or sub-asset type or instrument and can have a specific minimum and/or maximum amount or neither for each fee type. Management Fees can also be calculated based on the number of transactions. The number of transactions and the related commission are defined in Group Charges (SCPM.GROUP.CONDITION). Transactions to be excluded for the transaction count is defined in SC.ADV.TXN.PARAM.</t>
  </si>
  <si>
    <t>This process describes activities associated with the addition and removal of beneficiary. Through this process, new beneficiaries can be added or existing beneficiaries can be removed by a Retail Customer.</t>
  </si>
  <si>
    <t>This process describes the steps involved in initiating the Capital Call for the related Private Equity Investment. The capital call notice from the issuer can be a regular capital call after the initial commitment or an equalization call after the late commitment.  The capital call can be initiated with an amount or as a percentage on the commitment amount.  On receipt of Capital Call/ Equalization call notice from the Issuer of the PE Fund, the system updates the event amount and other fee details for each investor of PE Fund, which then updates the position against the PE fund for the respective investors.</t>
  </si>
  <si>
    <t>This process describes the steps involved in handling Capital return of Private Equity Investment. “Return of Capital Call” notice will be issued by a Private Equity firm when a suitable investment opportunity is not established for the Capital call initiated previously. On receipt of “Return of Capital Call” notice, customer's undrawn commitment amount is updated and customer's account credited with the capital returned amount along with interest and fees (if any).</t>
  </si>
  <si>
    <t>This process describes the steps involved in capturing details of initial and late commitment by a customer to a Private Equity Fund and the commitment subsequently being formalised. Formalizing the commitment can be done at the product events level as well.  The formalised commitment is usually invested over time as investments are identified. When the commitments are formalised, the system updates the Security Position for the customer against this PE instrument.</t>
  </si>
  <si>
    <t>This process describes the activities involved in the generation of deal pricing for European options</t>
  </si>
  <si>
    <t>This process describes the activities involved in the generation of deal pricing for Fixed rate bonds</t>
  </si>
  <si>
    <t>This process describes the activities involved in generating deal pricing for FX forwards.</t>
  </si>
  <si>
    <t>This process describes the activities involved in the generation of deal prices for swaps</t>
  </si>
  <si>
    <t>Execute Cancellation Request Received for FedNow Request for Payment</t>
  </si>
  <si>
    <t>Process Inward FedNow Request for Payment Investigation Request</t>
  </si>
  <si>
    <t>This process describes the activities involved in receiving a cancellation request (camt.055) for the already received RFP (pain.013) message. If the camt.055 message is successfully received, a receipt acknowledgement (admi.007) message is sent out and the original Request for Payment is identified. Based on RFP status, the cancellation request is accepted or rejected and the response is sent to Clearing via camt.029.</t>
  </si>
  <si>
    <t>This process describes the activities involved in receiving and processing Request for Payment investigation requests. On receipt of the request, the original Request for Payment is identified. Based on the status of payment, the investigation request is accepted or rejected and a response is sent to clearing via pain.014.</t>
  </si>
  <si>
    <t>3.4.12.2 Fedwire Payments</t>
  </si>
  <si>
    <t>Execute Inward Credit Transfer (Fedwire)</t>
  </si>
  <si>
    <t>Block or Unblock Funds (PBA)</t>
  </si>
  <si>
    <t>Cancel Account Sweep (PBA)</t>
  </si>
  <si>
    <t>Create Account (PBA)</t>
  </si>
  <si>
    <t>Create Limit Arrangement Account (PBA)</t>
  </si>
  <si>
    <t>Create Multi Currency Arrangement (PBA)</t>
  </si>
  <si>
    <t>Receive or Execute Teller Financial Services (PBA)</t>
  </si>
  <si>
    <t>Set Up Overdraft Protection (PBA)</t>
  </si>
  <si>
    <t>Set Up Parameters For Interest (PBA)</t>
  </si>
  <si>
    <t>Set Up Standing Order (PBA)</t>
  </si>
  <si>
    <t>Set Up Sweep (PBA)</t>
  </si>
  <si>
    <t>Update Fees and Charges (PBA)</t>
  </si>
  <si>
    <t>This process describes blocking and unblocking of funds for an account, for a specific period and amount.</t>
  </si>
  <si>
    <t>This Process depicts receiving an account opening form from the customer and an initial deposit. Successful opening of the account leads to associated sub processes viz., issue of debit card, cheque book issue, set up standing instruction/ sweep, set up overdraft limit etc.</t>
  </si>
  <si>
    <t>This process describes the activities involved in opening a multi-currency arrangement for a customer. A multi-currency arrangement account allows its owner to have multiple currencies under a single account structure; in this structure, customers can hold, send and receive money in multiple currencies.</t>
  </si>
  <si>
    <t>This process facilitates the capture of information for all teller financial services (TFS) in one screen and creates a consolidated entry (if parameterised) on the Customer account, a consolidated charge and a consolidated transaction advice. It is also possible to capture all information in one screen of TFS and create separate entries in the Customer's account for each of them.</t>
  </si>
  <si>
    <t>This process describes the activities involved in setting up a new overdraft protection based on the Customer request.</t>
  </si>
  <si>
    <t>This process describes the activities involved in the set up of the basic interest and periodic interest parameters.</t>
  </si>
  <si>
    <t>This process describes the activities involved in the set-up of a standing order based on the Customer request. The request can be of various types, viz. fixed Balance out, Balance Principal, Balance In etc.</t>
  </si>
  <si>
    <t>This process involves setting up a sweep (various types viz., Maintenance, Surplus, Two way) post the account opening process/on receipt of a specific request from the customer.</t>
  </si>
  <si>
    <t>This process describes the activities involved in updation of fees and charges for a product. The fees and charges in product conditions are created or existing conditions are re-used. Subsequently the product set up is validated (proofed) and published, i.e., the product is now available for users to start creating arrangement(s). The same process can be used for amending the product also.</t>
  </si>
  <si>
    <t>Platform Based Approach Processes</t>
  </si>
  <si>
    <t>Platform Based Approach</t>
  </si>
  <si>
    <t>21.1 Transact Core Package</t>
  </si>
  <si>
    <t>21.1.1 Account Processes</t>
  </si>
  <si>
    <t>21.1.2 Treasury Processes</t>
  </si>
  <si>
    <t>21.1.3 Wealth Processes</t>
  </si>
  <si>
    <t>Reconcile Nostro Accounts (PBA)</t>
  </si>
  <si>
    <t>Process Internal Rate Request (Forex) (PBA)</t>
  </si>
  <si>
    <t>Periodically, Nostro accounts as in the Bank's books will need to be reconciled with the account statement sent by the Nostro Bank. The statements may be received via SWIFT or physically and Transact automatically matches items and any unmatched items will need to be investigated.</t>
  </si>
  <si>
    <t>21.2 Payment Processes</t>
  </si>
  <si>
    <t>Execute Bank Transfer (Manual) (PBA)</t>
  </si>
  <si>
    <t>Execute Call Back - Cancellation of Credit Transfer (PBA)</t>
  </si>
  <si>
    <t>Execute Call Back - Cancellation of Credit Transfer through GPI tracker (PBA)</t>
  </si>
  <si>
    <t>Execute Inward Bulk Credit Transfer (PBA)</t>
  </si>
  <si>
    <t>Execute Inward Credit Transfer (PBA)</t>
  </si>
  <si>
    <t>Execute Inward Credit transfer via Order Entry (PBA)</t>
  </si>
  <si>
    <t>Initiate Outward Remittance Cancellation Request (PBA)</t>
  </si>
  <si>
    <t>Initiate Payment Order (Manual) (PBA)</t>
  </si>
  <si>
    <t>Perform Bulk Payment Validation (PBA)</t>
  </si>
  <si>
    <t>Perform Matching of Payment Notifications With Cover Payments (PBA)</t>
  </si>
  <si>
    <t>Perform Sanction Screening (PBA)</t>
  </si>
  <si>
    <t>Process Cancellation Request of Outward Remittance (PBA)</t>
  </si>
  <si>
    <t>Process Response Received for Outward Remittance (PBA)</t>
  </si>
  <si>
    <t>Process Return of Outward Remittance (PBA)</t>
  </si>
  <si>
    <t>Process Return of Redirected Transfer (PBA)</t>
  </si>
  <si>
    <t>Process Reversal of Outward Remittance (PBA)</t>
  </si>
  <si>
    <t>Process Reversal or Cancellation of Inward Remittance (PBA)</t>
  </si>
  <si>
    <t>Process Reversal or Cancellation of Inward Remittance (XML) (PBA)</t>
  </si>
  <si>
    <t>Receive Bulk Payment Request (PBA)</t>
  </si>
  <si>
    <t>Receive Electronic Payment Instruction (Bulk Outward) (PBA)</t>
  </si>
  <si>
    <t>Receive Electronic Payment Instruction (Single Outward) (PBA)</t>
  </si>
  <si>
    <t>Receive Recall Request of Inward Remittance from GPI Tracker (PBA)</t>
  </si>
  <si>
    <t>Receive Request for Account to Account Transfer (PBA)</t>
  </si>
  <si>
    <t>Receive Request for Outward Remittance (PBA)</t>
  </si>
  <si>
    <t>Send Query or Answers or Free Format Messages (PBA)</t>
  </si>
  <si>
    <t>Set Up Beneficiary (PBA)</t>
  </si>
  <si>
    <t>Validate and Execute Account to Account Transfer (Back Office) (PBA)</t>
  </si>
  <si>
    <t>Validate and Execute Outward Remittance (PBA)</t>
  </si>
  <si>
    <t>This process describes the activities for the execution of Bulk payments received in favour of clients. Post validation, funds will be credited to the beneficiary. If a payment is incorrect it can be automatically cancelled else manually repaired or cancelled.</t>
  </si>
  <si>
    <t>This process deals with activities associated with the execution of an inward remittance. The credit can either be received in the Vostro account (foreign bank maintaining the account with us) or in the Nostro account (we maintain an account with the foreign bank). This process requires manual order entry in the Transaction Processing System (TPS).</t>
  </si>
  <si>
    <t>This process describes the activities involved in initiating a recall request (camt.056) of outward remittance by a Customer or Bank. The recall request is initiated post-checking of the acceptance period. Based on the response received, the recall request is accepted or rejected.</t>
  </si>
  <si>
    <t>This process describes the activities involved in the creation of a Payment Order using the Payment Order application based on instructions from the customer or from Channels or Bank internal processing and these orders are validated/ executed based on the Payment order parameter setup available for the Bank i.e. either through TPS or any 3rd party interfaces.</t>
  </si>
  <si>
    <t>This process describes the matching of Payment Instructions with Cover Payments. The matching is automatically done when received before cut-off time through SWIFT else manually matched. Exception Receipts record is created when Swift messages (MT202 COV, MT210, MT299, camt.057, pacs.009 cov and MT910) are received by the bank and is matched against the Payment messages like MT103, MT202, pacs.008 and pacs.009.</t>
  </si>
  <si>
    <t>Financial institutions are required to filter or screen payment instructions before the funds are made available to avoid any breaching of sanctions, embargoes and other measures. This filtering needs to happen in real-time before booking the payment. Therefore a system needs to be in place wherein all payments/transactions can be monitored and filtered on time. Filtering is necessary to stop transactions which aid: terrorist financing, illegal activities financing etc. or fall under OFAC list or SDN list. This is an indicative list and every bank can have its criteria for filtering. This information is stored on the external database and not internally within the component.</t>
  </si>
  <si>
    <t>This process describes the activities involved in the cancellation of an outward credit transfer received via camt.055, API, etc. Post validation of the request, the cancellation request is accepted if the transaction is not in completed status or if the Intermediary/ beneficiary bank is not credited. Further, a cancellation request is generated as camt.056 to the clearing/ intermediary bank if funds are credited to the Intermediary/ beneficiary bank. Appropriate positive/negative responses for camt.056 are received via pacs.004 or pacs.002 along with camt.029. Customers are informed via camt.029, pain.002 or API.</t>
  </si>
  <si>
    <t xml:space="preserve">The process describes the activities involved in processing the return of remittance from the beneficiary for an outward remittance initiated by the customer or bank. The original transaction is identified and funds are credited back. If validation fails, the transaction can be manually amended or canceled.
</t>
  </si>
  <si>
    <t>The process describes the activities involved in processing returns received for previously redirected customer credit transfers. On receipt of the return, the original transaction is identified and the return transaction will be credited and sent to the originating bank. If validation fails, the transaction is manually repaired.</t>
  </si>
  <si>
    <t>This process allows users to send cancellation requests for already processed outward remittances. Users can send a cancellation request in the form of MT192, MT195 or MT199 as per operational procedure. Once the response is received from the Beneficiary Bank, the user can reverse the payment in the hub.</t>
  </si>
  <si>
    <t>The process begins with the receipt of the cancellation of an outward remittance request from the customer. The application is received at the front office, which is forwarded to the back office for execution after due authentications.</t>
  </si>
  <si>
    <t>This process describes the activities associated with setting up beneficiary information. This set up can be used in turn to facilitate the auto-population of beneficiary details while performing transactions in FT module (account-to-account transfer and outgoing payments).</t>
  </si>
  <si>
    <t>The process begins with the receipt of an outward remittance request from the customer. Necessary validations (e.g. duplicate check) are done before processing the remittance. A cover message is automatically generated if the remitting Bank does not have a Nostro account relationship with the corresponding bank. The payment can be sent via SWIFT or through SWIFT and local clearing based on Routing and Settlement configuration</t>
  </si>
  <si>
    <t>Generate Deal Pricing for Equity and Others</t>
  </si>
  <si>
    <t>Generate Deal Pricing for Floating Rate Bonds</t>
  </si>
  <si>
    <t>Generate Deal Pricing for Zero Rate Bond</t>
  </si>
  <si>
    <t>This process describes the activities involved in the generation of deal prices for Equity and Others.</t>
  </si>
  <si>
    <t>This process describes the activities involved in the generation of deal prices for Floating Rate Bonds.</t>
  </si>
  <si>
    <t>This process describes the activities involved in the generation of deal prices for Zero Rate Bonds.</t>
  </si>
  <si>
    <t>20.3 Liquidity Risk</t>
  </si>
  <si>
    <t>Calculate Liquidity Coverage Ratio (LCR)</t>
  </si>
  <si>
    <t>Calculate Net Stable Funding Ratio (NSFR)</t>
  </si>
  <si>
    <t>This process describes the activities involved in calculating the Liquidity Coverage Ratio to analyse advanced liquidity risks.</t>
  </si>
  <si>
    <t>This process describes the activities involved in calculating the Net Stable Funding Ratio to analyse advanced liquidity risks.</t>
  </si>
  <si>
    <t>Amend Repayment Schedule (AS)</t>
  </si>
  <si>
    <t>This process describes the activities involved in the amendment of the Repayment Schedule in an existing Asset finance arrangement.</t>
  </si>
  <si>
    <t>Temenos Digital Processes</t>
  </si>
  <si>
    <t>16.1 Temenos Digital Retail Originations</t>
  </si>
  <si>
    <t>Create Retail Bridge Loan Application (Temenos Digital)</t>
  </si>
  <si>
    <t>Create Retail Customer (Manual) (Temenos Digital)</t>
  </si>
  <si>
    <t>Create Retail Customer (STP) (Temenos Digital)</t>
  </si>
  <si>
    <t>Create Retail Lending Application (Temenos Digital)</t>
  </si>
  <si>
    <t>Create Retail Mortgage Loan Application (Temenos Digital)</t>
  </si>
  <si>
    <t>Create Retail Re-mortgage Loan Application (Temenos Digital)</t>
  </si>
  <si>
    <t>16.2 Temenos Digital Retail Servicing</t>
  </si>
  <si>
    <t>Add External Account (Temenos Digital)</t>
  </si>
  <si>
    <t>Create or Manage Savings Pot (Temenos Digital)</t>
  </si>
  <si>
    <t>16.3 Temenos Digital Wealth Servicing</t>
  </si>
  <si>
    <t>Initiate Security Order (Temenos Digital)</t>
  </si>
  <si>
    <t>Manage Watchlist (Temenos Digital)</t>
  </si>
  <si>
    <t>Transfer Cash (Temenos Digital)</t>
  </si>
  <si>
    <t>View Portfolio Details (Temenos Digital)</t>
  </si>
  <si>
    <t>Initiate Security Order (Temenos Digital with TAP and Transact)</t>
  </si>
  <si>
    <t>16.4 Temenos Digital Business Servicing</t>
  </si>
  <si>
    <t>Amend Import LC (Temenos Digital)</t>
  </si>
  <si>
    <t>Create Business User (Temenos Digital)</t>
  </si>
  <si>
    <t>Initiate Self-Enrollment for Digital Banking (Temenos Digital)</t>
  </si>
  <si>
    <t>Manage Bulk Payments (Temenos Digital)</t>
  </si>
  <si>
    <t>Receive Export LC (Temenos Digital)</t>
  </si>
  <si>
    <t>Request for Export LC (Drawing) (Temenos Digital)</t>
  </si>
  <si>
    <t>Request for Import LC (Drawing) (Temenos Digital)</t>
  </si>
  <si>
    <t>Request for Import LC (Temenos Digital)</t>
  </si>
  <si>
    <t>Set Up Approval Matrix (Temenos Digital)</t>
  </si>
  <si>
    <t>This Process describes the Exporter requesting funds from the Importer.</t>
  </si>
  <si>
    <t>16.5 Temenos Digital Servicing</t>
  </si>
  <si>
    <t>Initiate Payment (Temenos Digital)</t>
  </si>
  <si>
    <t>Manage Account Sweep (Temenos Digital)</t>
  </si>
  <si>
    <t>Manage Beneficiary (Temenos Digital)</t>
  </si>
  <si>
    <t>Manage Cheques (Temenos Digital)</t>
  </si>
  <si>
    <t>Manage Direct Debits (Temenos Digital)</t>
  </si>
  <si>
    <t>Manage Profile (Temenos Digital)</t>
  </si>
  <si>
    <t>Manage QR Payments (Temenos Digital)</t>
  </si>
  <si>
    <t>Open New Account (Temenos Digital)</t>
  </si>
  <si>
    <t>Receive Request through Chatbot (Temenos Digital)</t>
  </si>
  <si>
    <t>View Accounts Using Custom View or Filters (Temenos Digital)</t>
  </si>
  <si>
    <t>View and Manage Account or Transaction Details (Temenos Digital)</t>
  </si>
  <si>
    <t>View Service Request (Temenos Digital)</t>
  </si>
  <si>
    <t>16.5.1 Standalone Processes</t>
  </si>
  <si>
    <t>16.5.2 End to End Processes</t>
  </si>
  <si>
    <t>Execute Account To Account Transfer (Temenos Digital with Transact)</t>
  </si>
  <si>
    <t>16.5.3 Common Processes</t>
  </si>
  <si>
    <t>Create Contract (Temenos Digital)</t>
  </si>
  <si>
    <t>Manage Alerts and Messages (Temenos Digital)</t>
  </si>
  <si>
    <t>Manage Settings (Temenos Digital)</t>
  </si>
  <si>
    <t>16.7 Temenos Digital Corporate Lending Origination (CLOS)</t>
  </si>
  <si>
    <t>Create New Credit Application (CLOS) (Temenos Digital)</t>
  </si>
  <si>
    <t>Execute Account To Account Transfer (Temenos Digital with Transact) *</t>
  </si>
  <si>
    <t xml:space="preserve">Temenos Digital Processes covers customer on-boarding , retail and corporate services such as managing account , beneficiary, cheques, lending etc.
</t>
  </si>
  <si>
    <t>11.9 Hong Kong Specific Processes</t>
  </si>
  <si>
    <t>11.9.1 Retail Processes</t>
  </si>
  <si>
    <t>This process describes the steps to initiate the closure of the Term Deposit Primary Account.</t>
  </si>
  <si>
    <t>This process describes the activities involved in the creation of a Retail deposit and linking with the TD primary account.</t>
  </si>
  <si>
    <t>This process describes the activities involved in the creation of Deposit Primary Account.</t>
  </si>
  <si>
    <t>Close Deposit Primary Account (HKMB)</t>
  </si>
  <si>
    <t>Create Retail Deposit (HKMB)</t>
  </si>
  <si>
    <t>Open Deposit Primary Account (HKMB)</t>
  </si>
  <si>
    <t>11.1.7 Continuity of Access</t>
  </si>
  <si>
    <t>This process describes the process for initiation of continuity of access (COA) based on the notification from the Prudential Regulation Authority (PRA).</t>
  </si>
  <si>
    <t>This process explains the logic to compensate customer accounts classified as FFSTP, NFFSTP, and ineligible. The balances in accounts and deposit contracts belonging to the customers are determined to identify the compensable and unprotected balances. The compensable balance is retained in the customer account and the unprotected portion is moved to an internal suspense account for monitoring purposes.</t>
  </si>
  <si>
    <t>This Process explains managing overdrawn customer accounts as part of the COA process by a bank.</t>
  </si>
  <si>
    <t>This Process describes the activities done to mark the compensation status for all the NFFSTP contracts based on the notification from PRA.</t>
  </si>
  <si>
    <t>Process Continuity of Access (COA) Compensation (UKMB)</t>
  </si>
  <si>
    <t>Process Zero Setting of Overdrawn Accounts (UKMB)</t>
  </si>
  <si>
    <t>Update Compensation Status for NFFSTP Contracts (UKMB)</t>
  </si>
  <si>
    <t>Perform Link Analysis</t>
  </si>
  <si>
    <t>Perform Profile Calculation</t>
  </si>
  <si>
    <t>This process describes the activities involved in performing a link analysis on a customer. The Link Analysis page provides a visual representation of the relationships between entities in the FCM database. It is designed to help users understand the relationships between entities and to identify patterns and trends in the data.</t>
  </si>
  <si>
    <t>Create Standalone Memo Facility (Corporate)</t>
  </si>
  <si>
    <t>This process flow shows the steps involved in creating a Memo Facility with own bank share set to zero.</t>
  </si>
  <si>
    <t>This Process describes the activities involved in capturing a buy trade for a secondary loan product. A Buy trade occurs when a new lender enters the syndication. For the system to initiate a buy loan trade the associated loan trade product should be available in the Loan Trade product catalogue.</t>
  </si>
  <si>
    <t>Capture Secondary Loan Trade for New Buyer</t>
  </si>
  <si>
    <t>13.9 Identity Comparison</t>
  </si>
  <si>
    <t>Perform Beneficiary Name Comparison</t>
  </si>
  <si>
    <t>Manage Alias Table</t>
  </si>
  <si>
    <t xml:space="preserve">This process describes the activities involved in the capture and management of the alias table. An alias table stores the unmatched names from the transactions wherein the account holders' names are found to be different from the names recorded within the bank's system. Further, it allows the bank users to pre-empt and record alias names manually. The required audit trail is managed as part of this table.
</t>
  </si>
  <si>
    <t>Adjust Pay Off Bill (TEP)</t>
  </si>
  <si>
    <t>Amend Package Arrangement (TEP)</t>
  </si>
  <si>
    <t>Amend Pricing Details (TEP)</t>
  </si>
  <si>
    <t>Perform Amount Calculation for Account Closure (TEP)</t>
  </si>
  <si>
    <t>Perform Arrangement Simulation (TEP)</t>
  </si>
  <si>
    <t>Perform Event Simulation for an Arrangement (TEP)</t>
  </si>
  <si>
    <t>This process describes the activities involved in adjusting the payoff bill by manually negotiating any charges applicable for the closure of the account. The Customer knows the fee property name and the value by simulation and the bank user uses this property in 'adjust property' and negotiates the pricing details.</t>
  </si>
  <si>
    <t>This process describes the activities involved in the modification of a package arrangement. The package reference ID gets passed via API and the package arrangement is modified.</t>
  </si>
  <si>
    <t>This process describes the activities involved in amending the pricing details such as interest details or any fee details for an already simulated quotation reference of an arrangement. For example, the Customer can simulate account creation or any transaction to the account or close the account to know the pricing applicable for the transaction. The pricing details will be sent to the Customer with the unique user-defined or system-generated quotation reference. The Customer uses this quotation reference to negotiate the pricing details, the adjusted rate or fee amount given in the request will be applied as an additional benefit on the existing simulated quotation. The Customer uses the same quotation to make the transaction live with this additional negotiated benefit.</t>
  </si>
  <si>
    <t>This process describes the activities involved in Calculating the outstanding amount to close an account along with any pricing details applicable for the closure of the account if the pricing system is externalized.</t>
  </si>
  <si>
    <t>This process describes the activities involved in simulating an account, loan or deposit creation from the pricing system. Before creating an account, the customer can be provided with the pricing details such as interest and fee or cashback details applicable for new arrangement creation along with any benefit details applicable to the account. The system generates quotation references to simulate the arrangement based on a unique user-defined quotation reference. The user can use the same quotation reference to negotiate the pricing details or to create a new account.</t>
  </si>
  <si>
    <t>This process describes the activities involved in the simulation of an activity event or transaction event such as ATM withdrawal in an account, partial redemption in a deposit account, funds transfer to another account, etc., which results in the pricing details applicability for that event. The pricing details are sent to the Customer with the unique user-defined or system-generated quotation reference. The Customer can use this quotation reference to negotiate the pricing details.</t>
  </si>
  <si>
    <t>Execute Cancellation Request from Clearing (Fedwire)</t>
  </si>
  <si>
    <t>Initiate Outward Remittance Cancellation Request (Fedwire)</t>
  </si>
  <si>
    <t>Process Payment Return from Clearing (Fedwire)</t>
  </si>
  <si>
    <t>Process Response Received from Clearing (Fedwire)</t>
  </si>
  <si>
    <t>Validate and Execute Outward Remittance (Fedwire)</t>
  </si>
  <si>
    <t>This process describes the activities involved in processing inward credit cancellation requests from Fedwire clearing. Post validation, accounting entries are generated and the message is sent to clearing. Based on the response from Clearing, the cancellation request is updated.</t>
  </si>
  <si>
    <t>This process describes the activities involved in receiving a Fedwire credit transfer payment. Post validation, funds will be credited to the beneficiary account. If validation fails, the transaction is manually repaired or returned and a return (pacs.004) message is generated to Clearing.</t>
  </si>
  <si>
    <t>This process describes the activities involved in initiating a cancellation request (camt.056) for an outward remittance. The cancellation request is acknowledged from Clearing if admi.007 is received or rejected from clearing if an admi.002 is received. For a received camt.029, the cancellation request is accepted, partially accepted, rejected or marked as pending.</t>
  </si>
  <si>
    <t>This process describes the steps involved in processing the response received for a previously initiated Fedwire outward payment. On receiving a positive response (pacs.002 (ACSC/ACWP)), the status is updated and the customer is informed. If negative response pacs.002 (RJCT) is received, then the accounting entries are reversed and the customer is informed. An investigation message (pacs.028) is sent if no response is received from clearing. On receiving a rejection response (admi.002) the transaction is rejected.</t>
  </si>
  <si>
    <t>16.6 Temenos Digital Business Originations</t>
  </si>
  <si>
    <t>Create SME Customer (Temenos Digital)</t>
  </si>
  <si>
    <t>Create SME Lending Application (Temenos Digital)</t>
  </si>
  <si>
    <t>This process describes the activities associated with Onboarding a current account request from new/ existing corporate customer. The application is verified and approved or declined manually.</t>
  </si>
  <si>
    <t>This procedure describes the End to End activities involved in onboarding a SME lending application request from a new or existing SME customer. The application is verified and approved/ declined based on customer eligibility.</t>
  </si>
  <si>
    <t>3.4.3.5 AURTGS Payments</t>
  </si>
  <si>
    <t>This process describes the activities involved in creation of a hire purchase Asset finance arrangement. Hire purchase allows companies or individuals to own and control an asset during an agreed term, while paying rent or instalments covering depreciation of the asset, and interest to cover capital cost. On completion of the agreement, the ownership of the asset is transferred to the lessee.</t>
  </si>
  <si>
    <t>This process describes activities involved in the configuration and management of beneficiary name comparison. Payment processing can turn on the controls to be applied for any incoming customer credit transfers and name comparison is one of the many controls. The name matching performs a comparison on two name strings (payment string &amp; account name) by applying a market standard name matching algorithm. A parameter table provides the ability to configure filtering criteria required for name matching.</t>
  </si>
  <si>
    <t>This process describes using the Profile Calculations Widget which allows the user to visualize profile calculations. This Profile calculation displays the associated accounts/ customers and further views them as a graph or raw data.</t>
  </si>
  <si>
    <t>Execute Call Back - Cancellation of Credit Transfer (ACH) (PBA)</t>
  </si>
  <si>
    <t>Process Return of Outward Remittance (Flat file) (PBA)</t>
  </si>
  <si>
    <t>Process Return of Remittance from Indirect Participant (ACH) (PBA)</t>
  </si>
  <si>
    <t>Receive Electronic Payment Instruction (Bulk Outward) (ACH) (PBA)</t>
  </si>
  <si>
    <t>Receive Electronic Payment Instruction (Single Outward) (ACH) (PBA)</t>
  </si>
  <si>
    <t>Validate and Execute Outward Remittance (ACH) (PBA)</t>
  </si>
  <si>
    <t>This process describes the activities involved in executing the return of funds from clearing. The original transaction is identified and funds are credited to the customer account. If validation fails, the transaction can be manually repaired or cancelled.</t>
  </si>
  <si>
    <t>This process describes the activities involved in executing the return of funds (pacs.004) from the Indirect Participant. The Return request will be processed if the creditor is within the same bank else will be forwarded to the Clearing or Remitting bank, based on the Remitting bank nostro availability.</t>
  </si>
  <si>
    <t xml:space="preserve">This process highlights activities associated with the upload of bulk file credits from a customer. On successful upload, the system creates master and individual records. Payments will be routed accordingly. For unsuccessful uploads or payments, status reports can be sent to the customer. Unsuccessful payments will be reversed automatically or placed in the repair queue.
</t>
  </si>
  <si>
    <t>Execute Direct Debit Cancellation Request from Debtor Bank (ACH) (PBA)</t>
  </si>
  <si>
    <t>Execute Direct Debit Collection Request (ACH) (PBA)</t>
  </si>
  <si>
    <t>Execute Direct Debit Refund or Return Request from Debtor Bank (ACH) (PBA)</t>
  </si>
  <si>
    <t>Execute Direct Debit Return Request from Debtor Bank (Flat file) (PBA)</t>
  </si>
  <si>
    <t>Execute Direct Debit Reversal Request from Creditor Bank (ACH) (PBA)</t>
  </si>
  <si>
    <t>Execute Inward Direct Debit Collection Request (Flat file) (PBA)</t>
  </si>
  <si>
    <t>Execute Outward Direct Debit Collection Request (Manual) (ACH) (PBA)</t>
  </si>
  <si>
    <t>Execute Return or Refund of Settled Direct Debits (Manual) (ACH) (PBA)</t>
  </si>
  <si>
    <t>Process Clearing Status Report for Direct Debit Collection (ACH) (PBA)</t>
  </si>
  <si>
    <t>Receive and Execute Electronic Collection Instruction (Bulk) (ACH) (PBA)</t>
  </si>
  <si>
    <t>Receive and Execute Electronic Collection Instruction (Single) (ACH) (PBA)</t>
  </si>
  <si>
    <t>Reject Inward Direct Debit Collection Request (Manual) (ACH) (PBA)</t>
  </si>
  <si>
    <t>Send Cancellation Request for Outward Collection (ACH) (PBA)</t>
  </si>
  <si>
    <t>The process describes the execution of a cancellation request (e.g. camt.056) for a collection sent by the debtor bank. The related payment can be cancelled automatically or the operator can provide approval for the cancellation.</t>
  </si>
  <si>
    <t>The process describes the activities of validating Direct Debit collection requests (pacs.003). Based on the request received, Inward collection will be processed. The request is forwarded to the Indirect Participant (IP) if the debtor is not within the same bank.</t>
  </si>
  <si>
    <t>This process describes the activities of processing return requests (pain.004). Based on the return request, the system will identify the settled transaction and reverse the entries posted.</t>
  </si>
  <si>
    <t xml:space="preserve">This process describes the activities involved in executing a return request initiated by the debtor bank for a settled Outward Direct Debit. Necessary validations (e.g. Identifying the Original transaction) are done before processing the return request. Post validation, the beneficiary account will be debited, and the amount posted to the clearing account. If a payment is incorrect it can be repaired or cancelled by an operator.
</t>
  </si>
  <si>
    <t>The process describes the activities of validating Direct Debit reversal requests (pacs.007). Based on the request received, Inward reversal request will be processed. Necessary validations (e.g. Identifying Original transaction, Balance check) are done before processing the request. Post validation, the clearing account is debited, and the funds are credited back to the customer (Debtor) account. If payment is incorrect, it can be repaired or cancelled manually.</t>
  </si>
  <si>
    <t xml:space="preserve">The process describes the activities of receiving and validating direct debit collection requests from Clearing. Based on the request, funds are debited from the customer and sent to clearing. If a collection request is incorrect, it can be manually repaired or cancelled by an operator.
</t>
  </si>
  <si>
    <t>The process begins with receiving an outward collection request from the customer. Necessary validations (e.g. duplicate check) are done before processing. The request will be sent to Clearing.</t>
  </si>
  <si>
    <t>This process describes the steps involved in receiving a refund request from the customer (debtor) or initiating a return request, processing, and sending the request to the creditor bank. Based on configuration, returns are either processed automatically or can be done manually.</t>
  </si>
  <si>
    <t>The process describes receiving and validating electronic transfer requests (pain.008). Based on the requests, the required type of transaction (e.g. Account to Account, Outward collection) will be determined. If an outward collection request is incorrect it can be automatically cancelled else manually repaired or cancelled by an operator.</t>
  </si>
  <si>
    <t>This process describes the activities of receiving and validating electronic collection requests (e.g. pain.008). The type of transfer (e.g. Account to Account, Outward collection) is determined based on the request. If an outward collection request is incorrect it can be cancelled automatically or manually repaired/ cancelled by an operator.</t>
  </si>
  <si>
    <t>This process describes the activities for rejecting direct debit collection requests which are not yet settled. Rejection message (pacs.002) is sent by Debtor Bank for rejecting transaction which is in Warehouse.</t>
  </si>
  <si>
    <t>Process Aggregation of Security Trades from Derivatives</t>
  </si>
  <si>
    <t>This process explains the aggregation of security trades created from the exercise or assignment of derivative options. Based on the parameter setup, the security trades created during the exercise or assignment of equity options would be aggregated for processing settlement.</t>
  </si>
  <si>
    <t>This process describes the market placement of pooled funds from different orders and the generation of SWIFT messages. The interest rates in such cases can either be defaulted from previously captured data or manually inputted. The parameter configuration will determine the interest schedule for the Fixed Contract. The SWIFT message for counterparty payment (MT202) can be generated by Payment Order based on the parameter setup.</t>
  </si>
  <si>
    <t>Submit Loan Application on Behalf of Customer (Temenos Digital)</t>
  </si>
  <si>
    <t>This process describes the activities performed when a customer approaches the bank for a new loan request, and the assistance provided by the RM in identifying the product after understanding the purpose of the loan. Subsequently, the application is logged into Infinity Assist by the RM, full data entry is completed, and the application is successfully submitted through Infinity Assist.</t>
  </si>
  <si>
    <t>21.1.4 Standard Mortgage Processes</t>
  </si>
  <si>
    <t>Amend Interest on Loan (PBA)</t>
  </si>
  <si>
    <t>Create and Disburse Retail Loan (Manual) (PBA)</t>
  </si>
  <si>
    <t>Create and Disburse Retail Loan (Scheduled) (PBA)</t>
  </si>
  <si>
    <t>Create And Link Collateral (PBA)</t>
  </si>
  <si>
    <t>Perform Payment Holiday (PBA)</t>
  </si>
  <si>
    <t>Register Direct Debit Mandate For Retail Loans (PW) (PBA)</t>
  </si>
  <si>
    <t>Set Up Limit (PBA)</t>
  </si>
  <si>
    <t>This process describes the activities involved in setting up a Consumer loan (through AA Module) and the subsequent scheduled disbursement either through an account transfer or cash.</t>
  </si>
  <si>
    <t>This process describes the activities involved in defining the particulars of collateral and linking the collateral to a limit.</t>
  </si>
  <si>
    <t>This process involves receiving a request for a loan amendment, reviewing the amendment request and executing the request. The amendments could be changes to Interest rates, interest rate types, limit maintenance, past dues adjustments, past dues write-offs, changes to repayment schedules etc.</t>
  </si>
  <si>
    <t>This process describes the steps involved in applying Payment Holiday for a loan. Payment Holiday is a feature offered by banks using which a customer can opt to take an installment break, to skip repayment.</t>
  </si>
  <si>
    <t>This process depicts activities related to repayment of a loan either by cash or account transfer. Option to repay through payment order is possible for scheduled repayments.</t>
  </si>
  <si>
    <t>Process Reversal or Cancellation of Inward Remittance (ACH) (PBA)</t>
  </si>
  <si>
    <t>The process describes the activities involved in processing cancellation requests (e.g. camt.056) from the remitting bank for a remittance sent by them. The related payment can be returned automatically or the operator can provide approval for the return before remitting back the funds. If a payment cannot be returned a cancellation message (camt.029) will be sent. If the beneficiary is not within the same bank, the request is forwarded to the Indirect Participant (IP).</t>
  </si>
  <si>
    <t>Receive Request for Call Back or Cancellation of Outward Remittance (PBA)</t>
  </si>
  <si>
    <t>Perform Buyback of Shares</t>
  </si>
  <si>
    <t>This process describes the activities involved in performing a Buyback of an already securitised Loan. Own Bank initiates the activity on Buyback intimation received from the Investor.</t>
  </si>
  <si>
    <t>Create Investment Arrangement Account</t>
  </si>
  <si>
    <t>This Process describes the creation of an Investment account for the purpose of Investment Sweeps. The Investment products are created with the principal balance as memo balance and other balances as real balance. The purpose of Investment account is to enable the customers to sweep their excess funds into an Investment Instrument.</t>
  </si>
  <si>
    <t>Initiate Information Request for FedNow Request for Payment</t>
  </si>
  <si>
    <t xml:space="preserve">This process describes the activities involved in initiating an Information Request (camt.026) message for any missing information or incorrect information or requesting an extension of the expiry date or the Requested Execution Date of an underlying RFP pain.013 message. For the sent camt.026 message, the payer bank RFP module will receive admi.007 message. If the sent camt.026 message got rejected at the clearing layer, then Message Reject (admi.002) will be received, which marks the end of an IR cycle. As a response to the sent camt.026 message, payer bank receives Information Request Response camt.029 message with the status code
IPAY – Payment Initiated: On processing the Information Request sent by the payer bank, if the payee bank intends to accept it and agree to pay the corrected transaction amount, an Information Request Response (camt.029) message is sent with the status code IPAY. Also, the user must initiate a corrected payment and input the corrected transaction information while actioning an incoming information request in EBQA.
IDUP – Duplicate Payment: On processing the Information Request sent by the payer bank, if the payee bank finds that the RFP is a duplicate for which the information request message was received, an Information Request Response (camt.029) message is sent with the status code IDUP.
NINF – No further Information available: On processing the Information Request sent by the payer bank, if the payee bank finds no further information on the request received, respond a camt.029 message with the status code NINF and no further action takes place.
PDNG – Pending: On processing the Information Request sent by the payer bank, if the payee bank requires more time to investigate, sends an information request response (camt.029) with the status code PDNG (Pending) and continues reviewing the request.
INFO – Additional Information Sent: On processing the Information Request sent by the payer bank, if the payee bank wants to send the requested information, send an information request response (camt.029) with the status code INFO (Additional Information Sent). Additional payment information has been sent as camt.028 (Additional Payment Information) format with the required details. It is then manually amended by Bank user or Payer (Customer) For all the received camt.029 and camt.028 message, the payer bank will send a Receipt ack (admi.007) message. 
</t>
  </si>
  <si>
    <t>Perform Reachability Check (Fedwire)</t>
  </si>
  <si>
    <t>The process describes the activities in uploading the Clearing Directory into the TPH table to perform a Reachability check i.e., the bank can verify whether the Beneficiary bank is either a direct or indirect participant of the clearing before the payment is sent out. The user can identify the participant bank using reachability keys like the National Clearing Code (NCC). The payment will be displayed with an error if the Beneficiary bank is not a Fedwire participant.</t>
  </si>
  <si>
    <t>Perform Loan Securitisation by Asset Sale</t>
  </si>
  <si>
    <t>This process describes the activities involved in performing Loan Securitisation for a Standalone Loan. The activity is initiated by Bank on Asset sale intimation received from the Investor.</t>
  </si>
  <si>
    <t>21.2.1 Enterprise SWIFT CBPR+</t>
  </si>
  <si>
    <t>Execute Redirect Credit Transfer (HK CHATS)</t>
  </si>
  <si>
    <t>This process describes the activities involved in receiving a payment from SWIFT (MT101/ MT103/ MT202/ MT202 COV/ MT103 RETN) and redirecting the payment to HKCHATS (pacs.008/ pacs.009/ pacs.009 COV/ pacs.004) or receiving a payment from HK CHATS (pacs.008/ pacs.009/ pacs.009 COV / pacs.004) and redirecting the payment to SWIFT. Post validation, necessary entries are raised, and the payment is redirected.</t>
  </si>
  <si>
    <t>This process describes the activities involved in changing the interest rate for an asset finance arrangement.</t>
  </si>
  <si>
    <t>This process describes the activities that allow user to create Profile rules for both Real-time and Batch processing. Two types of rules can be defined:
Rules on transaction: which are checked on a transaction basis. These rules compare transaction amounts against a reference value or a value calculated from profile(s).
Rules on profile: These are checked on a daily basis. These rules compared, values calculated from profile(s) against a reference value.</t>
  </si>
  <si>
    <t>This procedure describes the activities involved in Creating a new credit application for the corporate customer (existing or Prospective customer) applying for a new Deal/ facility(s), amendment/ renewal to an existing Deal/ Facility.</t>
  </si>
  <si>
    <t>This process describes activities associated with processing an Onboarding request from a new/existing Retail customer. The application is approved or declined by the system.</t>
  </si>
  <si>
    <t>The process describes the transfer of funds between two financial institutions or Book transfer between two NOSTRO accounts maintained by the bank. The output will be the generation of outgoing messages like MT200 (Financial Institution transfer for its own account) or MT202 (General Financial Institution transfer) or MT210 (Pre-advice of funds instruction) or pacs.009 (Financial Institution Credit Transfer) or camt.057 (Notification to receive) or pacs.009 ADV (Pre-advice of Financial Institution Credit Transfer) and confirmation messages like MT900 (confirmation of debit) &amp; MT910 (confirmation of credit).</t>
  </si>
  <si>
    <t>This process describes the activities involved in the creation of filter and generation of filter files for the Quien-es-Quien Watchlist using the Virtual List Manager.</t>
  </si>
  <si>
    <t>This process describes the activities involved in receiving NPP (New Payments Platform) payment requests from Direct Participants. The Receive A Payment (RAP) are of two categories, Domestic and International Payment Systems (IPS). The international payment is identified with the Business Service Code, sctxbrdr.01, the other Business Service codes received are considered as Domestic Payment. Necessary validations (e.g. duplicate check) are performed before processing the remittance. Upon successful validations, necessary entries are raised and the customer is informed. If validation fails for credit party determination, necessary entries will be posted and a message (pacs.002) is sent to the Direct participant. For duplicate transactions, the transaction is rejected and a message (pacs.002) is sent to the Direct participant.</t>
  </si>
  <si>
    <t>Perform Reclassification of Loan</t>
  </si>
  <si>
    <t>This process depicts the tasks involved in the reclassification of a loan for AA, LD, MM and SL modules. Reclassification is possible for both IAS 39 and IFRS9 business models. The changes to IAS 39 permit an entity to reclassify certain financial assets out of the 'fair value through profit or loss' (FVTPL) and 'available-for-sale' (AFS) categories in limited circumstances. Under IFRS 9, there are six cases of reclassification for the FVOCI to AMC
- FVOCI to FVPL
corresponding old business model (AMC, FVOCI, FVPL).
- AMC to FVPL
- AMC to FVOCI
- FVPL to AMC
- FVPL to FVOCI</t>
  </si>
  <si>
    <t>The process describes the activities involved in processing Fedwire return transactions. Post identification of the original transaction, a return transaction is created and funds are credited back to the Customer/ Ordering bank.</t>
  </si>
  <si>
    <t>The process describes the activities involved in processing response (pacs.002) received for outward remittance processed. On receipt of the response, the original transaction is identified. A positive response will update the audit trail of the original transaction. A negative response will lead to the reversal of accounting entries. If auto reversal is not enabled, the negative response is manually accepted (payment reversed) or is ignored.</t>
  </si>
  <si>
    <t>This Process describes the activities involved in the Foreign Currency Asset Life-cycle Management. Foreign Currency Assets life-cycle events (Register, Purchase, Increase/ Decrease, Dispose, and Write-off) are recorded as a dated activity for efficient enquiring and tracking. Account Details of the foreign currency assets where the investment is made are captured through the Beneficiary application.</t>
  </si>
  <si>
    <t>This process describes the activities involved in receiving Fedwire Instant payments from customers. Necessary validations (e.g. duplicate check) are performed before processing the remittance. Post validations, messages (pacs.008, pacs.009, pacs.009 cov or pacs.009 ADV) are sent to Clearing (FedNow) and accounting entries are raised.</t>
  </si>
  <si>
    <t>Process Continuity of Access (COA) (UKMB)</t>
  </si>
  <si>
    <t>This process describes the steps involved in distribution of profit using Profit distribution system (PDS). Profit distribution system is used to distribute the profit to Deposit/ Account holders by Islamic financial or shariah compliant institutions to comply with the religious prohibition on Interest on Loans. The intention is to promote "the concept of participation in a transaction backed by real assets, utilizing the funds at risk on a profit-and-loss-sharing basis".</t>
  </si>
  <si>
    <t>Change Interest and Payment Schedule (PBA)</t>
  </si>
  <si>
    <t>Define And Maintain Parameters for Tax (PBA)</t>
  </si>
  <si>
    <t>Open Deposit (PBA)</t>
  </si>
  <si>
    <t>Perform Early Redemption of Deposit (PBA)</t>
  </si>
  <si>
    <t>Perform Partial Redemption of Deposit (PBA)</t>
  </si>
  <si>
    <t>This process describes how to change the Debit/ Credit Interest and Interest Payment Frequency (Payment Schedule) for an Arrangement Account.</t>
  </si>
  <si>
    <t>This process describes various activities involved in the early redemption of an AA deposit.</t>
  </si>
  <si>
    <t>This process describes the activities involved in partially redeeming AA deposits through account transfer, cash, or using a payment order.</t>
  </si>
  <si>
    <t>The process describes the activities involved in the creation and generation of AML Regulatory Reports. It allows banks to generate and submit reports in a standardized format.</t>
  </si>
  <si>
    <t>This process describes the activities performed for Purging the Closed Customer. The Customer Purge feature enables the user to move the exited customer records to history. Purging ensures that the bank's database remains up-to-date and free from unnecessary or outdated records, which helps to streamline the operations and maintain data security.</t>
  </si>
  <si>
    <t>Purge Customer</t>
  </si>
  <si>
    <t>Initiate Claim for Inward Credit Transfer (PP)</t>
  </si>
  <si>
    <t>Execute Claim Received for Outward Remittance (PP)</t>
  </si>
  <si>
    <t>This process describes the steps involved in receiving a claim request (camt.106 or MT191) for an outgoing credit transfer (103, 103+, 102, 102+, pacs.008, pacs.009) with OUR/ SHA charges (to collect the deficit charges from ordering customer). Post validation, the claim request is ignored, a payment is initiated through Book Transfer or Bank Transfer to settle the claim request.</t>
  </si>
  <si>
    <t>Initiate Cancellation Request for FedNow Request for Payment</t>
  </si>
  <si>
    <t>Initiate and Execute Outward FedNow Request for Payment</t>
  </si>
  <si>
    <t>Execute Inward Investigation Request (Fedwire)</t>
  </si>
  <si>
    <t>Initiate Outward Investigation Request (Fedwire)</t>
  </si>
  <si>
    <t>Process Reports Received from Clearing (Fedwire)</t>
  </si>
  <si>
    <t>This process describes the activities involved in receiving an Investigation request (camt.110) message for a previously initiated inward or outward payment message (pacs.008 /pacs.009 /pacs.009 COV /pacs.004 ). After successful validations, Fedwire Investigation response (camt.111) is sent to Clearing with status (CLSD, PDNG, RJCT) in response to the received Investigation request. The Investigation request is acknowledged by Clearing if admi.007 is received or rejected by Clearing if an admi.002 is received.</t>
  </si>
  <si>
    <t>This process describes the activities involved in initiating an Investigation request (camt.110) message for a previously initiated inward or outward payment message (Pacs.008/pacs.009/pacs.009 COV/pacs.004). After successful validations, an investigation request (camt.110) is sent to Clearing. The investigation request is acknowledged by Clearing if admi.007 is received or rejected by Clearing if an admi.002 is received. Based on the response received (camt.111), the investigation request status is updated.</t>
  </si>
  <si>
    <t>This process describes the activities in receiving various reports from the Fedwire Funds Service.
Fedwire Activity Report: The activity report is the message the Fedwire Funds Service sends (unsolicited) to a FedNow participant to furnish details regarding debit, credit, and nonvalue messages successfully processed for them during the particular funds-transfer business day.
Account Balance Report: The account balance report message contains the details of the debit balance, credit balance, opening balances and transaction summary of a Fedwire funds participant master or self-account. This report is received either by requesting the FedNow funds service with (camt.060) message or Fedwire funds service sends an unsolicited (camt.052) message to the Fedwire fund participant.
Endpoint gap report: The Endpoint gap report is the message the Fedwire Funds Service uses in the event of a contingency situation to inform each FedLine Direct endpoint owner about its Fedwire Funds Service message traffic on the day of the contingency event, regardless of whether there are any gaps in message sequence numbers for that endpoint.
Endpoint details report (sent, received, or totals report): The endpoint details report is used by Fedwire Funds participants for reconciliation purposes. The endpoint details report is sent only when a Fedwire Funds participant solicits the report during the Fedwire funds-transfer business day by sending an account reporting request (camt.060) message with identification code DTLS/DTLR to the Fedwire Funds Service. The Fedwire Funds participant can request a report for a range of Fedwire Funds messages sent or a report for a range of Fedwire Funds messages received by one of its endpoints.</t>
  </si>
  <si>
    <t>Manage Retention Payment Using Payment Order (IF)</t>
  </si>
  <si>
    <t>Manage Vendor Payment Using Payment Order (IF)</t>
  </si>
  <si>
    <t>This process describes the steps in making a retention payment to the vendor. Retention holds a percentage or amount to be paid to the vendor. This retained amount is paid using a separate payment called Retention payment. Retention percentage or amount is defined as part of Vendor payment initiation to retain a specific amount and pay the remaining to the vendor. Retention payments can be made to internal vendors or any external vendors.</t>
  </si>
  <si>
    <t>This process describes the steps in making a vendor payment. An Islamic bank procures assets or commodities from vendors and sells these goods/services to a customer with an agreed profit. The bank initiates and authorises payments to the vendor for the goods. Vendor payments in Islamic banking can be managed through Payment order and supports both Internal and external vendor payments.</t>
  </si>
  <si>
    <t>11.1.8 BACS Return</t>
  </si>
  <si>
    <t>This process describes the activities involved in receiving a return of BACS direct credit payment. Post validation, the original payment details are identified. If the mapping was successful, the status of the direct credit return is updated as Complete. The status of the original payment is updated from Complete to Complete with Return. If the mapping is unsuccessful, the direct credit returns are processed as a credit transfer.</t>
  </si>
  <si>
    <t>Process BACS Direct Credit Return (UKMB)</t>
  </si>
  <si>
    <t>Charge Missed Payment Fee for Failed Loan Repayments (AUMB)</t>
  </si>
  <si>
    <t>Create Loan with Rate Lock (AUMB)</t>
  </si>
  <si>
    <t>Create Product Bundle (AUMB)</t>
  </si>
  <si>
    <t>Link Insurance to Loan Arrangement (AUMB)</t>
  </si>
  <si>
    <t>Manage Mortgage Insurance Details (AUMB)</t>
  </si>
  <si>
    <t>Perform Withdrawal from Loan Redraw Balance (AUMB)</t>
  </si>
  <si>
    <t xml:space="preserve">This process describes the activities involved in charging a Default or Missed Payment Fee when a customer fails to repay loans based on the below rules.
The fee should be a DUE bill and the grace period must be configurable.
The loan must be continuously in arrears for a period.
The fee must not be charged on unpaid fees, but only on the unpaid P&amp;I or IO Bill. 
The system should charge a missed payment fee once based on a specific period irrespective of the repayment frequency of the loan so that the customer isn't overcharged in case their repayment frequency is weekly or fortnightly.
</t>
  </si>
  <si>
    <t>This process describes the activities in linking insurance to a loan arrangement</t>
  </si>
  <si>
    <t>This Process describes the activities involved in creating, amending or deleting the Lender's Mortgage Insurance details.</t>
  </si>
  <si>
    <t>This process describes the activities involved in initiating a Withdrawal from a Loan Redraw Balance (UNC balance), which is allowed within Minimum and Maximum daily limits.</t>
  </si>
  <si>
    <t>11.8.3 Transactional Processes</t>
  </si>
  <si>
    <t>Set Up Beneficiary with Limits (MXMB)</t>
  </si>
  <si>
    <t>This process describes the activities involved in the setup of beneficiary accounts with limits.</t>
  </si>
  <si>
    <t>Perform UDI Credit Transaction Limit Check for Level 2 Account (MXMB)</t>
  </si>
  <si>
    <t>Perform UDI Credit Transaction Limit Check for Level 4 Account (MXMB)</t>
  </si>
  <si>
    <t>This process describes the activities involved in the validation of UDI (Unidad de Inversi&amp;oacute;n, an index unit of funds used in Mexico), credit transaction limit check on savings account.</t>
  </si>
  <si>
    <t>This process describes the activities involved in the validation of UDI (Unidad de Inversi&amp;oacute;n, an index unit of funds used in Mexico), level 4 credit restriction on savings accounts.</t>
  </si>
  <si>
    <t>13.10.1 IFRS9 Financial Instruments</t>
  </si>
  <si>
    <t>Calculate Expected Credit Loss (ECL)</t>
  </si>
  <si>
    <t>Generate or Modify Cashflow Record</t>
  </si>
  <si>
    <t>Identify and Assign IFRS9 Risk Stage</t>
  </si>
  <si>
    <t>Manage Modification of Financial Instruments</t>
  </si>
  <si>
    <t>Measure Financial Instrument Using Amortised Cost Method</t>
  </si>
  <si>
    <t>Perform Risk Stage Change Manually</t>
  </si>
  <si>
    <t>This process describes the activities involved in estimating expected credit losses (ECL) on financial instruments using historical data, current economic conditions, and forward-looking information, under IFRS 9 impairment guidelines.</t>
  </si>
  <si>
    <t>This process describes the activities involved in the impact of collateral when calculating expected credit losses (ECL) on financial instruments, assessing its effectiveness in mitigating credit risk as per IFRS 9 requirements.</t>
  </si>
  <si>
    <t>This process describes the steps in creating comprehensive cashflow records that fully document cash inflows and outflows for financial instruments, in accordance with financial accounting or reporting requirements under IFRS 9. In addition, it captures any changes to cashflow data through relevant business events.</t>
  </si>
  <si>
    <t>This process describes the steps in identifying the credit risk characteristics of financial instruments and categorise/classify  them into relevant risk stages in accordance with IFRS 9, based on changes in credit risk since the instruments' initial recognition.</t>
  </si>
  <si>
    <t>This process describes the steps to handle modifications to financial instruments appropriately, ensuring accurate recording and disclosure of changes following IFRS9 guidelines and regulatory requirements.</t>
  </si>
  <si>
    <t>This process describes the steps in evaluating and recording financial instruments based on the Amortised Cost Method (AMC), incorporating effective interest rates to accurately reflect initial recognition and subsequent measurements of assets.</t>
  </si>
  <si>
    <t>This process describes the steps to apply fair value measurement principles to assess financial instruments, ensuring their values align accurately with current market conditions as mandated by IFRS9.</t>
  </si>
  <si>
    <t>This process describes the steps to adjust the risk stage of financial instruments manually when significant changes in credit risk necessitate reclassification, adhering to the requirements specified by IFRS9.</t>
  </si>
  <si>
    <t>Measure Financial Instrument Using Fair Value Method</t>
  </si>
  <si>
    <t>Execute Inward Credit Transfer (FedNow) *</t>
  </si>
  <si>
    <t>This process describes the activities involved in availing rate lock facility, which allows to apply the lowest interest rate to a loan arrangement, lower card rate, or rate that has been agreed upon with the customer, before disbursement. The rate lock facility is applied only on Fixed interest types and not on variable interest types.</t>
  </si>
  <si>
    <t>The process details the tasks involved in the bundling of various products. If an Offset Account is linked to a Loan, the difference between the Principal Interest of the Loan Balance and interest on the Loan Balance with the Offset balance is depicted as the Benefit of Interest.</t>
  </si>
  <si>
    <t>21.1.6 Corporate Lending Processes</t>
  </si>
  <si>
    <t>Amend Deal Arrangement (Corporate) (PBA)</t>
  </si>
  <si>
    <t>Amend Facility Arrangement (Corporate) (PBA)</t>
  </si>
  <si>
    <t>Attach Limit To Overdraft Account (Corporate) (PBA)</t>
  </si>
  <si>
    <t>Close Deal Arrangement (Corporate) (PBA)</t>
  </si>
  <si>
    <t>Create and Link Collateral (Corporate) (PBA)</t>
  </si>
  <si>
    <t>Create Collateral Pool (Corporate) (PBA)</t>
  </si>
  <si>
    <t>Create Deal Arrangement (Corporate) (PBA)</t>
  </si>
  <si>
    <t>Create Facility Under Deal Arrangement (Corporate) (PBA)</t>
  </si>
  <si>
    <t>Create Standalone Loan (Corporate) (PBA)</t>
  </si>
  <si>
    <t>Define Commitments (PBA)</t>
  </si>
  <si>
    <t>Issue Guarantee Under Facility (AA) (Corporate) (PBA)</t>
  </si>
  <si>
    <t>Manage Customer Engagements (Corporate) (PBA)</t>
  </si>
  <si>
    <t>Perform Drawings Under Facility Arrangement (Corporate) (PBA)</t>
  </si>
  <si>
    <t>Set Up Corporate Loan (PBA)</t>
  </si>
  <si>
    <t>Set Up Limit (Corporate) (PBA)</t>
  </si>
  <si>
    <t>Set Up Project Loan (PBA)</t>
  </si>
  <si>
    <t>Sub-allocate Limit (PBA)</t>
  </si>
  <si>
    <t>This process describes the activities involved in attaching a limit to an overdraft account.</t>
  </si>
  <si>
    <t>This process describes the activities involved in the closure of a deal arrangement. A deal can be closed only if all underlying facilities are closed. The closure details are captured and simulation is performed for the outstanding balance in the deal. A payment Order is initiated for repayment of deal outstanding. Post settlement the deal is closed.</t>
  </si>
  <si>
    <t>This process details how Collateral details are recorded and linked to the limits already established.</t>
  </si>
  <si>
    <t>This Process describes the activities involved in creating Collateral and grouping collaterals of a customer logically to create Collateral Accounts. Further, Collateral Accounts of various customers are pooled together to create a Collateral Pool that covers exposure.</t>
  </si>
  <si>
    <t>This process describes the activities involved in creating a facility under a deal based on allowed products set. A facility cannot be created under a blocked deal or in case of insufficient deal commitment balance. Facility arrangement details, variable or fixed limit, commitment amortisation schedule, and payment method are captured based on customer request. During the tenure of the facility, the agreed amount can be utilised by the customer by performing a drawdown on the facility and creating loan arrangements. A customer is allowed to draw multiple times (within allowed facility limits) with each drawing having its unique conditions.</t>
  </si>
  <si>
    <t>This process describes activities for defining tranches to be drawn for Project Loans, record details of tranches such as revolving/ non-revolving, fees/ charges, etc.</t>
  </si>
  <si>
    <t>This process describes the activities involved in performing drawdown of a facility by creating loan arrangement under the facility based on allowed products set. A drawdown cannot be performed for a blocked facility or in case of insufficient commitment balance. Loan arrangement details along with Interest Pricing, Repayment Method, Repayment Schedule, and Settlement Instructions are captured.</t>
  </si>
  <si>
    <t>This process describes the activities involved in setting up corporate loan by capturing the relevant particulars (e.g. : Customer ID, currency, interest rate type, Drawdown account, liquidation account etc).</t>
  </si>
  <si>
    <t>This process describes activities for setting up product-wise limits for the customer (e.g.: Limits for Term Loan, LC, BG, etc.).</t>
  </si>
  <si>
    <t>This process describes the activities involved in setting up Project loan, executing disbursement and activating repayment schedule. Project Progress Report and Financials are analysed for each disbursement(s) as part of monitoring the covenants.</t>
  </si>
  <si>
    <t>This process describes the activities for suballocating limits between two limits of a customer. The linking enables dynamic usage of the limits between the products.</t>
  </si>
  <si>
    <t>21.2.3 Enterprise ACH Batch Clearing -  Credit Transfer (CT)</t>
  </si>
  <si>
    <t>21.2.4 Enterprise ACH Batch Clearing -  Direct Debit (DD)</t>
  </si>
  <si>
    <t>Reconcile Nostro Accounts (PBA) *</t>
  </si>
  <si>
    <t>Execute Call Back - Cancellation of Credit Transfer (PBA) *</t>
  </si>
  <si>
    <t>Execute Call Back - Cancellation of Credit Transfer through GPI tracker (PBA) *</t>
  </si>
  <si>
    <t>Execute Inward Bulk Credit Transfer (PBA) *</t>
  </si>
  <si>
    <t>Execute Redirect Credit Transfer (PBA)</t>
  </si>
  <si>
    <t>21.2.2 Enterprise SWIFT CBPR+ and Agency Banking</t>
  </si>
  <si>
    <t>Process Response Received for Redirected Credit Transfer (PBA)</t>
  </si>
  <si>
    <t>Process Return of Redirected Cover Payment (PBA)</t>
  </si>
  <si>
    <t>The process describes the activities involved in processing the return of settled redirected credit transfer through the cover method. Post identification of the original transaction, a return transaction is manually initiated and funds are credited back to the correspondent bank after deduction of charges. Redirected credit transfer through cover is returned to the correspondent bank through pacs.004 message.</t>
  </si>
  <si>
    <t>Receive and Execute Payment Instructions (Standalone) (PBA)</t>
  </si>
  <si>
    <t>This process describes the activities of receiving and executing payment instructions in standalone mode. The process describes the steps involved in sending validation requests to an external system (validate account, balance check etc.) and executing the payment instruction based on the response received from the external system.</t>
  </si>
  <si>
    <t>Execute Inward Credit Transfer (PBA) *</t>
  </si>
  <si>
    <t>Execute Inward Credit transfer via Order Entry (PBA) *</t>
  </si>
  <si>
    <t>Initiate Outward Remittance Cancellation Request (PBA) *</t>
  </si>
  <si>
    <t>Process Cancellation Request of Outward Remittance (PBA) *</t>
  </si>
  <si>
    <t>Process Response Received for Outward Remittance (PBA) *</t>
  </si>
  <si>
    <t>Process Return of Outward Remittance (PBA) *</t>
  </si>
  <si>
    <t>Process Reversal of Outward Remittance (PBA) *</t>
  </si>
  <si>
    <t>Process Reversal or Cancellation of Inward Remittance (PBA) *</t>
  </si>
  <si>
    <t>Process Reversal or Cancellation of Inward Remittance (XML) (PBA) *</t>
  </si>
  <si>
    <t>Receive and Execute Payment Instructions (Standalone) (PBA) *</t>
  </si>
  <si>
    <t>Receive Electronic Payment Instruction (Bulk Outward) (PBA) *</t>
  </si>
  <si>
    <t>Receive Electronic Payment Instruction (Single Outward) (PBA) *</t>
  </si>
  <si>
    <t>Receive Recall Request of Inward Remittance from GPI Tracker (PBA) *</t>
  </si>
  <si>
    <t>Receive Request for Account to Account Transfer (PBA) *</t>
  </si>
  <si>
    <t>Receive Request for Call Back or Cancellation of Outward Remittance (PBA) *</t>
  </si>
  <si>
    <t>Receive Request for Outward Remittance (PBA) *</t>
  </si>
  <si>
    <t>Send Query or Answers or Free Format Messages (PBA) *</t>
  </si>
  <si>
    <t>Validate and Execute Account to Account Transfer (Back Office) (PBA) *</t>
  </si>
  <si>
    <t>Validate and Execute Outward Remittance (PBA) *</t>
  </si>
  <si>
    <t>3.4.13 Singapore</t>
  </si>
  <si>
    <t>3.4.13.1 MEPS Payments</t>
  </si>
  <si>
    <t>Receive and Execute Outward Remittance (MEPS)</t>
  </si>
  <si>
    <t>Initiate Outward Cancellation Request (MEPS)</t>
  </si>
  <si>
    <t>This process describes the activities involved in receiving a MEPS Credit transfer payment. Post syntax validations,  payment validations (e.g. Credit account determination, duplicate check) are performed. Upon successful validations, accounting entries are generated and the customer is informed.</t>
  </si>
  <si>
    <t>Execute Inward Credit Transfer (MEPS)</t>
  </si>
  <si>
    <t>21.1.5 Deposit Processes</t>
  </si>
  <si>
    <t>Manage Takeover of Financial Instruments</t>
  </si>
  <si>
    <t>Perform Interest Recognition on Net Carrying Amount for Impaired Loan</t>
  </si>
  <si>
    <t>Perform Measurement of Below-Market Contract</t>
  </si>
  <si>
    <t>Perform Reclassification of Financial Instruments</t>
  </si>
  <si>
    <t>This process describes the activities involved in transferring financial contracts from legacy systems to Temenos Transact, or converting non-IFRS contracts to IFRS standards within the system, ensuring compliance with IFRS9 during the migration process.</t>
  </si>
  <si>
    <t>This process describes the activities involved in recognising interest on a net basis for impaired assets, with interest revenue calculated after adjusting for credit losses.</t>
  </si>
  <si>
    <t>This process describes the activities involved in the measurement of below-market rate loans by recognizing them at fair value on initial recognition by discounting future cash flows at prevailing market rates and subsequent measurement at amortized cost, in accordance with IFRS9 requirements. A below-market loan is a loan whose interest rate is lower than the applicable federal interest rate (for example, market rate) at the time it is issued or involves zero interest rate.</t>
  </si>
  <si>
    <t>This process describes the activities performed to update asset classifications between business models based on changes in the entity's management approach, following IFRS9 guidelines.</t>
  </si>
  <si>
    <t>13.10 International Financial Reporting Standards (IFRS)</t>
  </si>
  <si>
    <t>13.10.2 IAS36 Impairment of Assets</t>
  </si>
  <si>
    <t>Manage Activities on Impaired Assets</t>
  </si>
  <si>
    <t>Perform Impairment of Assets Using Cost Model</t>
  </si>
  <si>
    <t>Reverse Asset Impairment Using Cost Model</t>
  </si>
  <si>
    <t>This process describes the steps in managing and evaluating activities performed on impaired assets to ensure proper accounting and treatment. The system may initiate activities such as depreciation, or the user may trigger a capital improvement, disposal or write-off of an asset.</t>
  </si>
  <si>
    <t>This process describes the activities involved in recording impairment losses under the cost model by adjusting the asset's carrying amount to its recoverable value when necessary.</t>
  </si>
  <si>
    <t>This process describes the activities involved in reversing previously recorded impairment losses by adjusting the asset's value, subject to limitations on the amount that can be reversed.</t>
  </si>
  <si>
    <t>Process Return of BACS Direct Debit (UKMB)</t>
  </si>
  <si>
    <t>This process describes the activities involved in initiating the matching of direct debit returns with the Direct Debit collection process to perform the reversal of accounting entries.</t>
  </si>
  <si>
    <t>Manage Maturity Instructions for Deposits (HKMB)</t>
  </si>
  <si>
    <t>This process describes the activities involved in the management of maturity instructions for deposits. While placing a deposit, a customer can provide the corresponding maturity instructions associated with the deposit. Maturity instructions for a deposit can be a rollover of the maturing amount, partial rollover, payout of the deposit amount, etc. When a maturity instruction is selected, corresponding validations are triggered.</t>
  </si>
  <si>
    <t>11.1.9 Other Interest Reporting</t>
  </si>
  <si>
    <t>Configure and Generate Other Interest Report (UKMB)</t>
  </si>
  <si>
    <t>This process describes the configuration of the parameters related to the generation of the Other Interest report. This includes the configuration of UKOIRT.OI.REPORT.PARAMETER for storing details such as the bank member ID, the non reportable security, Exempted account, Reportable customer, etc. Further, the Tax year for which the report has to be generated is included in parameter table to enable reporting. Her Majesty's Revenue and Customs (HMRC) requires banks to complete the Other Interest (OI) return with the list of transactions where the interest is paid to a reportable customer. The report contains the details of customers and their security accounts for which securities income was earned during the tax year. The report acts as a reconciliation tool for the regulatory authority to cross-check if the taxes paid by the customers are in line with the income earned by the customer.</t>
  </si>
  <si>
    <t>Generate Financial Services Compensation Scheme Report (UKMB)</t>
  </si>
  <si>
    <t>This process describes the activities involved in the generation of Financial Services Compensation Scheme (FSCS) report. As part of the monitoring mechanism for financial institutions, which fall within the ambit of the FSCS scheme, the financial institutions are required to submit reports on deposit products, balances, and other data, as required by the regulatory authority. Bank uses this report to submit to the regulatory body, the list of all customers that the bank holds, and the accounts held by these customers and the balances.</t>
  </si>
  <si>
    <t>Configure Financial Services Compensation Scheme Report (UKMB)</t>
  </si>
  <si>
    <t>This process describes the steps involved in setting up the configurations required to generate the FSCS reports</t>
  </si>
  <si>
    <t>Report Eligible Unclaimed Balances to Financial Services Compensation Scheme (UKMB)</t>
  </si>
  <si>
    <t>This process describes the steps involved in capturing the unclaimed balances for a closed account which are moved to the suspense accounts and the unclaimed balance will be then reported in the FSCS SCV or Exclusion Report. The report includes accounts for which closure payout draft is not encashed within the regulator-specified period.</t>
  </si>
  <si>
    <t>Initiate Payment Order (MXMB)</t>
  </si>
  <si>
    <t>This process describes the activities involved in initiation of a payment order with a waiting period and verifying beneficiary limit thresholds for local currency transactions, ensuring compliance with local clearing SPEI-TEF regulations.</t>
  </si>
  <si>
    <t>Regionalized Solution Processes</t>
  </si>
  <si>
    <t>Execute Bank Transfer (Manual) (PBA) *</t>
  </si>
  <si>
    <t>This process describes the steps involved in receiving and initiating an outward FedNow Request for Payment (RFP). After successful validations, RFP Request is sent to Clearing. The RFP request (pain.013) is acknowledged by Clearing if admi.007 is received or rejected by Clearing if an admi.002 is received. Based on the response received (pain.014), the RFP order status is updated.</t>
  </si>
  <si>
    <t>This process describes the activity involved in initiating a MEPS cancellation request (camt.056) for outward remittance by a Customer or Bank that was initiated and sent to the Clearing. Cancellation is requested by sending camt.056 to Clearing.</t>
  </si>
  <si>
    <t>This process describes the activities involved in receiving an MEPS outward payment from the customer or bank. Necessary validations (e.g. duplicate check) are performed before processing the remittance. Post validations, messages (pacs.008, pacs.009 or pacs.009 cov) are sent to Clearing (MEPS) and accounting entries are raised.</t>
  </si>
  <si>
    <t>Change Customer Liability (PBA)</t>
  </si>
  <si>
    <t>Maintain or Reverse Limit (Corporate) (PBA)</t>
  </si>
  <si>
    <t>This process describes the maintenance/ reversal of customer limits.</t>
  </si>
  <si>
    <t>Complete Trade Data and Confirmation (Money Market) (PBA)</t>
  </si>
  <si>
    <t>Complete Trade Data and Confirmation (SWAP) (PBA)</t>
  </si>
  <si>
    <t>Execute Cancellation (Forex) (PBA)</t>
  </si>
  <si>
    <t>Execute Delivery (Forex) (PBA)</t>
  </si>
  <si>
    <t>Execute Settlement (Forex) (PBA)</t>
  </si>
  <si>
    <t>Execute Settlement (Money Market) (PBA)</t>
  </si>
  <si>
    <t>Execute Settlement (SWAP) (PBA)</t>
  </si>
  <si>
    <t>Execute Trade (Forex) (PBA)</t>
  </si>
  <si>
    <t>Execute Trade (Money Market) (PBA)</t>
  </si>
  <si>
    <t>Execute Trade (SWAP) (PBA)</t>
  </si>
  <si>
    <t>Perform Position and Market Analysis (Forex) (PBA)</t>
  </si>
  <si>
    <t>Perform Position and Market Analysis (Money Market) (PBA)</t>
  </si>
  <si>
    <t>Perform Position and Market Analysis (SWAP) (PBA)</t>
  </si>
  <si>
    <t>Process Rollover or Repayments (Money Market) (PBA)</t>
  </si>
  <si>
    <t>Receive and Initiate Common Order Placement (PBA)</t>
  </si>
  <si>
    <t>Reset Rates (SWAP) (PBA)</t>
  </si>
  <si>
    <t>Verify Trade Data and Confirmation (Forex) (PBA)</t>
  </si>
  <si>
    <t>This process involves verification of SWAP deal details, settlement details, authorisation, and confirmation of SWAP.</t>
  </si>
  <si>
    <t>This process describes the activities involved In capturing an early partial or full delivery (settlement) of a Forex option Deal. Settlement details such as the settlement amount buy or sell, settlement account, and settlement currency are captured. Post authorisation, confirmation advice is sent to the counterparty.</t>
  </si>
  <si>
    <t>This process describes the settlement of SWAP deals, posting accounting entries, and generating SWIFT messages.</t>
  </si>
  <si>
    <t>This process describes capturing a Forex deal in the system and providing trade data to the back office for further processing. Legal Entity details with their status and Expiry date are captured in LE.DIRECTORY. The logic to identify transactions that are in the scope of MIFID II is defined in LE.ELIGIBILITY.PARAM. The system enables the LEI/NCI checks for those qualifying transactions with an Override/Error check. Legal Entity ID/ National Client ID is captured while creating OC.CUSTOMER. While executing a Trade, the LEI check is initiated during transaction commit and override/error triggered where LEI or NCI for the parties to the transaction are unavailable or conditions not being met.</t>
  </si>
  <si>
    <t>This process involves contacting the counterparty for periodic interest rate setting. The system automatically generates a SWIFT message confirming the rate change.</t>
  </si>
  <si>
    <t>The process describes the capturing of different transactional details related to the maintenance of asset catalog arrangement through arrangement activities.</t>
  </si>
  <si>
    <t>Manage Tangible Asset Arrangement</t>
  </si>
  <si>
    <t>Create Tangible Asset Arrangement</t>
  </si>
  <si>
    <t>This process describes the activities involved in creating an arrangement to capture the static details of an asset using tangible asset catalog. During arrangement creation, depending on the nature of asset like vehicles, equipments, and land-building, specific attributes are captured along with basic details of the asset.</t>
  </si>
  <si>
    <t>Perform Loan Charge-Off (Corporate)</t>
  </si>
  <si>
    <t>This process describes the steps involved to perform a Loan charge-off. The bank may charge-off the principal balance or principal balance, interest, and charges of a loan due to reasons like loan is deemed doubtful.</t>
  </si>
  <si>
    <t>Perform Repayment at Facility (Corporate)</t>
  </si>
  <si>
    <t>Receive and Execute Charge Payment Notification (PP)</t>
  </si>
  <si>
    <t>This process describes the steps involved in receiving a Charge Payment Notification (camt.105) for an outgoing credit transfer (MT103, MT202, MT205, pacs.008, pacs.009) to advise charges, interest or other adjustments to the account owner. Post validation, the Charge Payment Notification request is processed as Book Transfer to settle the charge notification request or ignored.</t>
  </si>
  <si>
    <t>Cancel Payment Holiday Post Increase in Floating Rate (AUMB)</t>
  </si>
  <si>
    <t>Create Loan (AUMB)</t>
  </si>
  <si>
    <t>Create Loan Package (AUMB)</t>
  </si>
  <si>
    <t>Manage Interest Rate Change Notice (AUMB)</t>
  </si>
  <si>
    <t>Manage Loan Package (AUMB)</t>
  </si>
  <si>
    <t>This process describes the activities involved in availing of a rate lock facility, which allows applying the lowest interest rate to an existing loan arrangement, lower card rate, or rate agreed with the customer.</t>
  </si>
  <si>
    <t>This process describes the activities involved in the cancellation of a payment holiday this can be a case of either the customer or bank initiation to cancel the hold applied due to a rate change and recalculate the repayment amount from the date of the transactions.</t>
  </si>
  <si>
    <t>This product describes the activities involved in the creation of a loan with extra or fixed amount flexible repay options and defaulting interest keys. Product validations are performed before creation of the loan.</t>
  </si>
  <si>
    <t>This process describes the activities involved in creating a package at the time of disbursement of the first loan to a customer or Joint Customer which is the master loan. Multiple loans can be included in the same package and the fee is charged on the master loan.</t>
  </si>
  <si>
    <t>This process is used to recalculate the payment amount or term whenever the interest rate is changed. Interest Rate Change Notice, hold/freeze is applied on the repayment amount for a variable P&amp;I loan when there is an increase in the interest rates for bank-initiated rate changes and not applied for customer-initiated changes. Also, it allows bank users to cancel the freeze on the repayment amount applied through the Payment Holiday, when a specific activity is initiated, and recalculate the calc amount.</t>
  </si>
  <si>
    <t>This process describes the activities involved in the updation of a Master Loan in a Loan Package with the next loan in the hierarchy based on the closure of a master loan, or change in the Product of the Master Loan or Split or merging of a master loan or when a Customer or Customer role is changed.</t>
  </si>
  <si>
    <t>11.8.4 Account Parties</t>
  </si>
  <si>
    <t>This process describes the activities involved in the updation of nominee details to an existing account or deposit arrangement.</t>
  </si>
  <si>
    <t>Update Nominee for Account Arrangement (MXMB)</t>
  </si>
  <si>
    <t>Maintain Person Entity Post Customer Role Ends</t>
  </si>
  <si>
    <t>This process describes the activities involved in the capturing of a Money Market deal in the system and providing trade data to back office for further processing.</t>
  </si>
  <si>
    <t>Apply Rate Lock to an Existing Loan (AUMB)</t>
  </si>
  <si>
    <t>Consider Collateral in ECL Calculations</t>
  </si>
  <si>
    <t>21.1.7 Financial Crime Mitigation Processes</t>
  </si>
  <si>
    <t>Add Alias to Watch List Entry (PBA)</t>
  </si>
  <si>
    <t>Block Transaction During Online Screening (PBA)</t>
  </si>
  <si>
    <t>Create and Generate SAR or CTR Report (PBA)</t>
  </si>
  <si>
    <t>Evaluate Alert Using Interdict List Prioritization (PBA)</t>
  </si>
  <si>
    <t>Evaluate Customer Information File (CIF) Alert (PBA)</t>
  </si>
  <si>
    <t>Evaluate Real Time Alerts (PBA)</t>
  </si>
  <si>
    <t>Evaluate Suspicious Activity Prevention (SAP) Alert (PBA)</t>
  </si>
  <si>
    <t>Evaluate Transaction Alert (PBA)</t>
  </si>
  <si>
    <t>Manage Evaluated Alert (PBA)</t>
  </si>
  <si>
    <t>Perform Customer Screening Against Blacklist (PBA)</t>
  </si>
  <si>
    <t>View Historical Alerts (PBA)</t>
  </si>
  <si>
    <t>View Web Inquiry (PBA)</t>
  </si>
  <si>
    <t>This process describes the activities involved in adding an Alias to Watch list entry. Alias is also referred to as AKA (Also Known As) and often used in Public list or Private (Global/ Local) lists as additional names or abbreviations associated with the main entry.</t>
  </si>
  <si>
    <t>This process describes activities involved in blocking a transaction during online screening. A message is generated and sent to the Core Banking system to block the transaction.</t>
  </si>
  <si>
    <t>The process describes the activities involved in the creation and generation of the SAR/ CTR report. This allows banks to submit SAR and CTR reports in standardized formats to the Financial Intelligence Unit (FIU) according to the country or jurisdiction-specific rules and specifications.</t>
  </si>
  <si>
    <t>This process describes the activities involved in prioritizing alert processing based on watch list entries. The list of alerts available for analysis is displayed on the main screen of the Transaction Alert manager and the field "Interdict Hitlist" allows the users to choose watch list items for which action needs to be taken on priority.</t>
  </si>
  <si>
    <t>This process describes the activities involved in the creation and evaluation of a generated CIF alert. CIF Alert Manager allows users to evaluate alerts on customer records, that have been detected during regular batch screening for the KYC reviews.</t>
  </si>
  <si>
    <t>This process describes the activities involved in evaluation of Suspicious Activity Prevention (SAP) alerts. It is a real-time, online transaction monitoring solution, which builds user and customer profiles to detect and stop suspicious transactions.</t>
  </si>
  <si>
    <t>This process describes activities involved in evaluating transaction alerts. Transaction alert manager displays cross-border and/ or domestic transactions and messages that are subject to online Compliance screening.</t>
  </si>
  <si>
    <t>This process describes the activities involved in the investigation of evaluated alerts. A Note or document can be uploaded and added to Evaluated Alerts.</t>
  </si>
  <si>
    <t>21.1.8 Retail Lending Processes</t>
  </si>
  <si>
    <t>Close Loan (AA) (PBA)</t>
  </si>
  <si>
    <t>Manage Prepayments (AA) (PBA)</t>
  </si>
  <si>
    <t>Perform Rate Review and Fixing (PBA)</t>
  </si>
  <si>
    <t>Repay Past Due (AA) (PBA)</t>
  </si>
  <si>
    <t>The process for receiving and executing the prepayment request from the customer is detailed in this flow.</t>
  </si>
  <si>
    <t>This process describes reviewing and setting up interest rates on the rate revision date, for various interest types -Floating, RFR (Risk-Free Rate), Periodic, and Fixed.</t>
  </si>
  <si>
    <t>This process deals with receiving and executing instructions from a customer for repaying past due amounts in a retail loan.</t>
  </si>
  <si>
    <t>Manage And Decide On Amendments (AA) (PBA)</t>
  </si>
  <si>
    <t>Manage Past Due (AA) (PBA)</t>
  </si>
  <si>
    <t>Pay Off Loan (Pre-Closure) (AA) (PBA)</t>
  </si>
  <si>
    <t>Perform Repayment (AA) (PBA)</t>
  </si>
  <si>
    <t>Create and Disburse Retail Loan (Manual) (PBA) *</t>
  </si>
  <si>
    <t>Create and Disburse Retail Loan (Scheduled) (PBA) *</t>
  </si>
  <si>
    <t>Amend Interest on Loan (PBA) *</t>
  </si>
  <si>
    <t>Manage And Decide On Amendments (AA) (PBA) *</t>
  </si>
  <si>
    <t>Manage Past Due (AA) (PBA) *</t>
  </si>
  <si>
    <t>Pay Off Loan (Pre-Closure) (AA) (PBA) *</t>
  </si>
  <si>
    <t>Perform Repayment (AA) (PBA) *</t>
  </si>
  <si>
    <t>Process Loan Restructuring (AA) (PBA)</t>
  </si>
  <si>
    <t>Execute Direct Debit (Outward) (PBA)</t>
  </si>
  <si>
    <t>The process describes activities associated with the creation and execution of an outward direct debit mandate. On the claim date, system automatically generates and sends the Claim file to TPH. OFF-US the claim will be forwarded to clearing and Accounting/Settlement entries will be posted if the debtor bank honors the claim. ON-US Claims will be honored or returned to the customer based on direct debit validation.</t>
  </si>
  <si>
    <t>Process Market Claim for Mandatory Cash Event</t>
  </si>
  <si>
    <t>This process describes the steps to settle the market claim to the entitled party (customer or broker).  Market claim processing ensures the benefit of a distribution reaches the contractually entitled party. This happens when a transaction resulting from a trade cum dividend has not been settled by the record date of the distribution of the dividend. The seller of the securities is obliged to transfer the dividend to the buyer. Market Claims can be handled either by the Custodian or Bank.</t>
  </si>
  <si>
    <t>Add or Update Subscriptions (AS)</t>
  </si>
  <si>
    <t>Cancel Subscriptions (AS)</t>
  </si>
  <si>
    <t>This process describes the subscription feature that enables banks or financial institutions to provide various options for customers to manage subscriptions in their financial arrangements. The user can add, modify, and cancel the subscriptions to the financial arrangement. The subscription fee can be either a one-off or a recurring payment at specified intervals, continuing until a certain period or the contract end date.</t>
  </si>
  <si>
    <t>This process describes the activities in cancelling the subscriptions in mid period or mid-term of the subscription plan.</t>
  </si>
  <si>
    <t>Manage Cost Payment Using Payment Order (IF)</t>
  </si>
  <si>
    <t>Manage Down Payment Using Payment Order (IF)</t>
  </si>
  <si>
    <t>Manage Rebate Payment Using Payment Order (IF)</t>
  </si>
  <si>
    <t>Manage Reviewer Payment Using Payment Order (IF)</t>
  </si>
  <si>
    <t>Manage BPAY Biller Details (AUMB)</t>
  </si>
  <si>
    <t>Perform Customer Address Validation (AUMB)</t>
  </si>
  <si>
    <t>Perform Delivery Address Validation (AUMB)</t>
  </si>
  <si>
    <t>Perform Scheduled Repayment from Redraw Amount (AUMB)</t>
  </si>
  <si>
    <t>This process supports the onboarding and maintenance of new billers. BPAY is an electronic bill payment system in Australia, which enables payments to be made through a financial institution's online, mobile, or telephone banking facility to organisations registered as BPAY billers.</t>
  </si>
  <si>
    <t>This process describes the activities involved in allowing the capture of Customer address details and getting it validated using the Equifax interface.</t>
  </si>
  <si>
    <t>This process describes the activities involved in allowing the capture of Delivery address details and getting it validated using the Equifax interface.</t>
  </si>
  <si>
    <t>This process describes the activities involved in the scheduled recalculation, lock extra amount and auto repayment from redraw balance for a loan account.</t>
  </si>
  <si>
    <t>11.10 New Zealand Specific Processes</t>
  </si>
  <si>
    <t>11.10.1 Retail Banking Processes</t>
  </si>
  <si>
    <t>Manage Term Deposit Notice Break (NZMB)</t>
  </si>
  <si>
    <t>Perform Early Redemption of Term Deposit (NZMB)</t>
  </si>
  <si>
    <t>This process describes the activities involved in amending or cancelling a Term Deposit Notice Break before the Break Effective Date. Notice Break request is executed and the break principal amount is paid to the Customer account on the Break Effective Date.</t>
  </si>
  <si>
    <t>This process describes the activities involved in withdrawing a term deposit partially or fully before the maturity date for which interest is calculated on the withdrawn amount at a reduced rate and the difference between the original interest and the reduced interest is recovered as Break Cost. The recovery of the Break Cost amount is based on the NZDEPO.PARAMETER and can also exceed the defined amount.  If the break is executed on the request date, it is an online break and if the break is executed on a future date, it will be a Notice break.</t>
  </si>
  <si>
    <t>11.10.1.1 Term Deposit Processes</t>
  </si>
  <si>
    <t>Perform Financial Adjustments for Backdated Contract</t>
  </si>
  <si>
    <t>This process describes the activities involved in differentiating the accrual adjustment entries for the before period and the current period and the main changes required to identify adjustment entries for the current period and the period before now for backdated transactions.</t>
  </si>
  <si>
    <t>This process describes the steps in making a cost payment. An Islamic bank procures assets or commodities from vendors and sells these goods/services to a customer with an agreed profit. Cost payment is used to pay the additional cost incurred during the Asset purchase. Apart from the purchase price of the asset there are other costs that may be involved in bringing the asset to usable condition. These costs include the money spent on Freight, custom duties, packaging, documentation, taxes, etc.</t>
  </si>
  <si>
    <t>This process describes the activities in collecting down payment amount from customer account using the Adhoc payment method.</t>
  </si>
  <si>
    <t>This process describes the steps in making a rebate payment. A vendor rebate is a discount the vendor offers for purchasing the asset. The bank receives the rebate from the manufacturers or dealers. It is possible to share the rebate amount with the finance customer or bank's P&amp;L account using the Rebate Payment option. Accounting entries are generated for the rebate payment from the multi-supplier account on the bill date and the payment balances file is updated.</t>
  </si>
  <si>
    <t>Execute Inward Batch Direct Debit (HK-FPS)</t>
  </si>
  <si>
    <t>This process describes the activities involved in the execution of Inward Hong Kong Faster Payment Batch Direct Debit. Necessary validations are performed and a positive (ACSP) or negative (RJCT) response (pacs.002) is sent. Based on the response received in the Captured report and confirmation batch file, accounting entries are settled and the Customer is informed.</t>
  </si>
  <si>
    <t>Perform Validation of Payment Order</t>
  </si>
  <si>
    <t>This process describes the activities involved in executing a payment order based on the parameter setup available for the Bank, either through TPS or any third-party interfaces.</t>
  </si>
  <si>
    <t>Perform Message Validation</t>
  </si>
  <si>
    <t>This process describes the activities involved in validating the message sent.</t>
  </si>
  <si>
    <t>This process describes the activities involved in making payment to the Asset reviewer by using the Adhoc payment method. Asset review is the process of reviewing or verifying the asset or commodity involved in the purchase. This can be carried out by an appraiser, surveyor or reviewer based on the type of asset or commodity.</t>
  </si>
  <si>
    <t>2.5 Supply Chain Finance</t>
  </si>
  <si>
    <t>2.5.1 Initiation</t>
  </si>
  <si>
    <t>2.5.2 Financing and Repayment</t>
  </si>
  <si>
    <t>Capture Invoice for Finance Request (SCF)</t>
  </si>
  <si>
    <t>Create Facility (SCF)</t>
  </si>
  <si>
    <t>Create Finance Request (SCF)</t>
  </si>
  <si>
    <t>Create Programme (SCF)</t>
  </si>
  <si>
    <t>Perform Invoice Batching for Finance Request (SCF)</t>
  </si>
  <si>
    <t>The Process describes the details and activities involved to capture a invoice for funding.</t>
  </si>
  <si>
    <t>This process describes the steps in creating a supply Chain finance facility under a programme.</t>
  </si>
  <si>
    <t>This process describes the steps involved in the initiation of a finance request, with an Invoice or Batch to proceed with funding.</t>
  </si>
  <si>
    <t>This Process describes the steps involved in Programme creation for Supply Chain Finance</t>
  </si>
  <si>
    <t>This Process describes the activities involved in batching invoices for funding.</t>
  </si>
  <si>
    <t>Manage Repayment for Financial Request (SCF)</t>
  </si>
  <si>
    <t>Perform Disbursement for Finance Request (SCF)</t>
  </si>
  <si>
    <t>Perform Loan Simulation for Finance Request (SCF)</t>
  </si>
  <si>
    <t>This process describes the activities involved in the drawing repayment by the customer.</t>
  </si>
  <si>
    <t>This Process describes the activities involved in Funding the finance request and Drawing Creation.</t>
  </si>
  <si>
    <t>This Process describes the steps involved in the generation of quotation of the finance request, before the Disbursement/ Funding process.</t>
  </si>
  <si>
    <t>21.1.9 Cash Management Processes</t>
  </si>
  <si>
    <t>Cancel Account Sweep (Corporate) (PBA)</t>
  </si>
  <si>
    <t>Create External Arrangement Account (PBA)</t>
  </si>
  <si>
    <t>Create Investment Arrangement Account (PBA)</t>
  </si>
  <si>
    <t>Execute Intra-Day Sweep (Transactional Pooling) (PBA)</t>
  </si>
  <si>
    <t>Execute Maintenance Sweep (Transactional Pooling) (PBA)</t>
  </si>
  <si>
    <t>Execute Surplus Sweep (Transactional Pooling) (PBA)</t>
  </si>
  <si>
    <t>Execute Two Way type Sweep (Transactional Pooling) (PBA)</t>
  </si>
  <si>
    <t>Remove Sub Account from Notional Pooling (PBA)</t>
  </si>
  <si>
    <t>Reverse a Sweep Transaction (Transactional Pooling) (PBA)</t>
  </si>
  <si>
    <t>Set Up or Amend Pool and Groups (Transactional Pooling) (PBA)</t>
  </si>
  <si>
    <t>This process describes the cancellation of a sweep set up for an account.</t>
  </si>
  <si>
    <t>This Process describes the creation of an External Arrangement account for external Sweeps. Arrangement accounts are set up with linked account numbers, which will be nostro accounts (beneficiaries). The purpose of the external Arrangement account is to act as a Link Account in the Cash pool record to facilitate the sweep of funds from the source account to an external account via payment order.</t>
  </si>
  <si>
    <t>This process describes the activities for revoking a sweep transaction already executed by the system. Reversal entries are passed during the close of business.</t>
  </si>
  <si>
    <t>The group is created by specifying the master account. To the created group, multiple accounts are linked to create the pool. This creates a tree structure of accounts held by a Corporate. The pooling could be either Shared or a Sweep. In case of Shared Pooling, the sum total of all account balances are checked while performing the transaction. For a Sweep setup, the balances are transferred according to defined rules. Cash Pool can be suspended - For a day by setting Suspend Start Date (or) - For a specific period by setting Suspend Start and Suspend End Date (or) - For an Indefinite period by setting Suspend Start Date and Suspend Indefinitely Sweep will not be performed between the accounts in the Cash Pool during Cash Pool suspension period.</t>
  </si>
  <si>
    <t>Set Up Sweep (PBA) *</t>
  </si>
  <si>
    <t>Cancel Account Sweep (PBA) *</t>
  </si>
  <si>
    <t>Create Main Account and Set up Group Hierarchy (Notional Pooling) (PBA)</t>
  </si>
  <si>
    <t>This process describes how accounts can be linked into a hierarchical structure of individual groups. Each group consists of a main account to which other (subaccounts) can be linked.</t>
  </si>
  <si>
    <t>Create Sub Account (Notional Pooling) (PBA)</t>
  </si>
  <si>
    <t>Corporate Banking processes support Corporate Current and Deposit Accounts,  Corporate Loans, Project Loans, Syndicated Lending, Correspondent Banking, Trade Finance &amp; Guarantees, Factoring &amp; Forfaiting Processes and Supply Chain Finance.</t>
  </si>
  <si>
    <t>11.1.10 Current Account Switch</t>
  </si>
  <si>
    <t>Capture Customer Request for Current Account Switch (UKMB)</t>
  </si>
  <si>
    <t>Capture Switch Cancellation (UKMB)</t>
  </si>
  <si>
    <t>This process explains the steps involved in receiving a request by the Acquiring bank from the customer to switch a current account from the Ceding Bank through electronic mode.</t>
  </si>
  <si>
    <t>This process explains the functionality related to the cancellation of switch request.</t>
  </si>
  <si>
    <t>Create New Till (MXMB)</t>
  </si>
  <si>
    <t>Execute Cash Transaction (MXMB)</t>
  </si>
  <si>
    <t>Execute Cheque Transaction (MXMB)</t>
  </si>
  <si>
    <t>This process describes the activities involved in creation of a new till.</t>
  </si>
  <si>
    <t>This process describes the activities involved in the execution of cash transaction based on customer request.</t>
  </si>
  <si>
    <t>This process explains the activities at the branch for processing the cheques. Cheque payments are performed by teller based on customer request.</t>
  </si>
  <si>
    <t>Create Person or Entity (MXMB)</t>
  </si>
  <si>
    <t>This process describes the activities involved in creating a Person or Entity for Individual and Corporate customers with Mexico-specific additional details</t>
  </si>
  <si>
    <t>11.8.5 Lending Compliance</t>
  </si>
  <si>
    <t>Create Collateral (MXMB)</t>
  </si>
  <si>
    <t>Create Loan Arrangement (MXMB)</t>
  </si>
  <si>
    <t>The process explains the Collateral creation with the additional regulatory information as specified by Mexico's central bank</t>
  </si>
  <si>
    <t>This process describes activities involved in opening a loan account and the automatic generation of Account CLABE (Clave Bancaria Estandarizada) ID, which must be generated as part of the loan creation process.</t>
  </si>
  <si>
    <t>Generate FATCA Nil Report</t>
  </si>
  <si>
    <t>Generate FATCA Pool Report</t>
  </si>
  <si>
    <t>Generate FATCA Year End Data for Reporting</t>
  </si>
  <si>
    <t>This process describes the steps in generating static information for every reportable FATCA customer. A copy of the FATCA-related static data at year-end can be created manually and automatically through a COB job. If data changes need to be applied to the FATCA year-end copy data, the bank users can modify the year-end data accordingly.</t>
  </si>
  <si>
    <t>Process Inward Zero Dollar FedNow Request for Payment</t>
  </si>
  <si>
    <t>The process describes the activities involved in receiving a FedNow zero-dollar RFP to check the receiving FedNow participant's technical ability to receive and act on the RFP in addition to checking the customer details during validation</t>
  </si>
  <si>
    <t>3.4.5.14 Iberpay Payments</t>
  </si>
  <si>
    <t>This process describes the activity of receiving a cancellation request for Iberpay inward credit transfer. The cancellation request received from clearing is validated and executed if it's within the acceptance days. Cancellation request is rejected in case the request is received after cancel acceptance days.</t>
  </si>
  <si>
    <t>This process describes the activities involved in the execution of Inward credit transfer from Iberpay. Post validation and sanctions, funds are credited to the beneficiary. If validation fails, the transaction is manually repaired or returned.</t>
  </si>
  <si>
    <t>Set Up Capitalisation Frequency and Credit Interest (Notional Pooling) (PBA)</t>
  </si>
  <si>
    <t>This process describes the activities involved in generating a Nil report when no accounts are reported. The filer category is also updated in the generated XML file based on the parameter setup. The FATCA base file is updated with the customer information and holds no financial information if the field 'No account to report' is set to Yes.</t>
  </si>
  <si>
    <t>This process explains generating XML reports based on reporting requirements. Consolidated XML can be generated based on individual tax base records and Account Holder Type. The system creates a base file where all details about a customer including the aggregate balances are held. From this base file, Clients can extract any required report for FATCA Reporting purposes. The customer's aggregated balance will be updated to a base file called FATCA.TAX.BASE based on the relationship defined in the FATCA.REPORTING.PARAMETER. Also, the aggregate balance of customers who are RECALCITRANT DORMANT or NON-PARTICIPATING will be updated in a file called FATCA.POOL.BALANCE from where this can be reported. Based on FATCA.XML.REQUEST record Id (AGGR OR AGGR-(STATUS.TYPE)) FATCA.AGGR.TAX.BASE records will be selected and aggregated. For UK-specific XML messages, Reporting Parameter will be defined with HMRC FLAG and separate UK-specific XML will be generated or IRS XML will be generated.</t>
  </si>
  <si>
    <t>This process describes how to set up capitalisation frequency and credit interest for accounts.</t>
  </si>
  <si>
    <t>Perform Currency Exchange Rate Backdating</t>
  </si>
  <si>
    <t>This process describes the activities involved in the creation of a backdated currency exchange rate. This also covers the storing and maintenance of history of dates when backdated currency exchange rates were defined or modify.</t>
  </si>
  <si>
    <t>11.1.11 Interface to ClearBank Payment Gateway</t>
  </si>
  <si>
    <t>Create Virtual Account and Notify ClearBank (UKMB)</t>
  </si>
  <si>
    <t>Initiate Outward Remittance to ClearBank (UKMB)</t>
  </si>
  <si>
    <t>This process describes the activities involved in creating a virtual account. When a new account is created, an event XML is emitted and sent to the JMS queue. The message is picked from the JMS queue and transformed to ClearBank via a REST API call in JSON format.</t>
  </si>
  <si>
    <t>This process describes the generation of outward payment messages and conversion of the message into interface-specific format for further communication to ClearBank.</t>
  </si>
  <si>
    <t>11.1.12 CRS Reporting</t>
  </si>
  <si>
    <t>This process describes the activities involved in the generation of CRS reports as per UK regulations.</t>
  </si>
  <si>
    <t>Generate CRS Report (UKMB)</t>
  </si>
  <si>
    <t>13.1 FATCA Processes</t>
  </si>
  <si>
    <t>Check FATCA Customer Data Reasonableness</t>
  </si>
  <si>
    <t>Create and Update FATCA Supplementary Information Record (Automatic)</t>
  </si>
  <si>
    <t>Create and Update FATCA Supplementary Information Record (Manual)</t>
  </si>
  <si>
    <t>Create FATCA Aggregate Balances Record</t>
  </si>
  <si>
    <t>This process describes the steps involved in performing a reasonableness check. According to FATCA Regulations, all financial institutions (FI) must undertake reasonableness tests to ensure that any FATCA-specific data inconsistencies are identified as part of the customer self-certification process during customer onboarding or during post onboarding process. The FATCA.CHECK.REASONABLENESS enquiry allows the bank users to carry out the reasonableness check either during the customer onboarding or the post-onboarding process. The enquiry will then return the result of the check to the corresponding customer, and this, in turn, will enable the bank to take further course of action. The following are the results of the check: OK - Indicates there are no data inconsistencies. NOK - Indicates data inconsistencies have been detected. ERROR - Indicates that generic errors have stopped the routine from completing successfully.</t>
  </si>
  <si>
    <t>This process describes the activities involved in creating FATCA supplementary information records automatically based on the parameter setup. The records are created based on indicia calculation and mapping rules defined in RT.REGULATORY.RULES table. For FATCA-compliant banks, FATCA customer status is updated either automatically or manually along with the required documents applicable for entities and individuals. This will also require updating/ identification of FATCA status as US and non-US clients.</t>
  </si>
  <si>
    <t>This process describes the activities involved in creating FATCA records manually based on the parameter setup. The records can be created based on indicia calculation and mapping rules defined. For FATCA-compliant banks, FATCA customer status needs to be updated manually along with the required documents applicable to entities and individuals. This will also require updating/ identification of FATCA status as US and non-US clients.</t>
  </si>
  <si>
    <t>This process explains how the system aggregates the account/portfolio balances and supports due diligence requirements. The financial accounts are classified into EXEMPT IND, EXEMPT ENT and HIGH VALUE accounts where the classification is based on the total depository and custody account balances. The balance status depends on the corresponding threshold amounts configured at the parameter table for a given client and account type. Based on the classification it is possible to update FATCA status and collect documents as per statutory requirements.</t>
  </si>
  <si>
    <t>This process describes the Pooled Reports used to report on an aggregate basis in a reporting pool rather than specific account holder information. Pooled reports can contain only a given FATCA status. All the cases under the selected FATCA status are converted into a Pooled Report summarizing each FATCA status into one report.
For each calendar year, the following groups of account holders are reported separately: - Recalcitrant account holders with US Indicia - Recalcitrant account holders without US Indicia - Dormant Accounts - Non-participating foreign financial institutions - Recalcitrant account holders that are US persons - Recalcitrant account holders that are passive NFFEs.
For all pooled types, other than a pool of non-participating FFIs, the pool balance is the amount of the aggregate balance or value of all accounts within the reported pool. In the case of pooled non-participating FFIs, the pool balance is the aggregate foreign reportable amounts paid to non-participating FFIs within the reported pool. An XML request is created to generate a FATCA POOL report.</t>
  </si>
  <si>
    <t>Create and Update CRS Supplementary Information Record (Automatic)</t>
  </si>
  <si>
    <t>Create and Update CRS Supplementary Information Record (Manual)</t>
  </si>
  <si>
    <t>Create CRS Aggregate Balances Record</t>
  </si>
  <si>
    <t>Create CRS Year End Static Data Copy</t>
  </si>
  <si>
    <t>Generate CRS Report</t>
  </si>
  <si>
    <t>13.11 CRS Processes</t>
  </si>
  <si>
    <t>The process describes the activities involved in automatically creating a CRS supplementary information record based on the parameter setup. This process also allows us to capture details such as the client type, tax-related details, Status, etc., that are required for Common Reporting Standards (CRS) regulatory reporting and generate the required Reports through Batch processing. The records are created based on indicia calculation and mapping rules defined in RT.REGULATORY.RULES table. For CRS compliant bank, CRS customer status is updated either automatically or manually along with the required documents applicable for entities and individuals. This will also need updating/ identification of CRS Status as Reportable and Non-Reportable clients.</t>
  </si>
  <si>
    <t>This process describes the activities involved in creating CRS supplementary information records manually based on the parameter setup. The records can be updated based on indicia calculation and mapping rules defined. This process also allows us to capture the details such as the client type, tax-related details, Status etc., which are required for the Common Reporting Standards (CRS) regulatory reporting and to generate the required Reports through Batch processing. The records are created based on indicia calculation and mapping rules defined in RT.REGULATORY.RULES table. For a CRS-compliant bank, the CRS customer status is updated either automatically or manually, along with the required documents applicable to entities and individuals. This will also need updating/ identification of CRS Status as Reportable and Non-Reportable clients.</t>
  </si>
  <si>
    <t xml:space="preserve">This process describes the activities involved in the generation of aggregated account/portfolio balances and supports due diligence requirements for all financial accounts (depository and custodial) held by an individual or entity and maintained by the bank (FI). The functionality enables the classification of Pre-Existing accounts into individuals or entities. It also supports further classification into high or low balances based on the aggregated total balance of each customer into Pre-Existing Low Individual, Pre-Existing High Individuals, Pre-Existing Low Entity  or Pre-Existing High Entity.
</t>
  </si>
  <si>
    <t>This process describes the steps in generating static information for every reportable CRS customer. A copy of the CRS-related static data at year-end can be created manually and automatically through a COB job. If data changes need to be applied to the CRS year-end copy data, the bank users can modify the year-end data accordingly.</t>
  </si>
  <si>
    <t>This process describes generating XML reports based on reporting requirements. Consolidated XML can be generated based on individual tax base records and account holder type. The system creates a base file where all details about a customer including the aggregate balances are held. From this base file, Clients can extract reports for CRS Reporting purposes. The customer's aggregated balance will be updated to a base file called CRS.REPORT.BASE based on the configurations defined in the CRS.REPORTING.PARAMETER. Based on CRS.XML.REQUEST record, specific XML will be generated.</t>
  </si>
  <si>
    <t>Amend Deal (REPO or RESO) (PBA)</t>
  </si>
  <si>
    <t>Complete Trade Data and Confirmation (FRA) (PBA)</t>
  </si>
  <si>
    <t>Complete Trade Data and Confirmation (REPO or RESO) (PBA)</t>
  </si>
  <si>
    <t>Confirm Deal (Forex) (PBA)</t>
  </si>
  <si>
    <t>Execute Client Forex Deal (PBA)</t>
  </si>
  <si>
    <t>Execute Forex Trade (Bulk Order) (PBA)</t>
  </si>
  <si>
    <t>Execute Non-deliverable Forward Trade (NDF) (PBA)</t>
  </si>
  <si>
    <t>Execute Rollover (Forex) (PBA)</t>
  </si>
  <si>
    <t>Execute Settlement (FRA) (PBA)</t>
  </si>
  <si>
    <t>Execute Settlement (NDF) (PBA)</t>
  </si>
  <si>
    <t>Execute Settlement (REPO or RESO) (PBA)</t>
  </si>
  <si>
    <t>Execute Trade (FRA) (PBA)</t>
  </si>
  <si>
    <t>Execute Trade (REPO or RESO) (PBA)</t>
  </si>
  <si>
    <t>Fix Rates (FRA) (PBA)</t>
  </si>
  <si>
    <t>Perform Position and Market Analysis (REPO or RESO) (PBA)</t>
  </si>
  <si>
    <t>Perform Repayment or Rate Refix (REPO or RESO) (PBA)</t>
  </si>
  <si>
    <t>Receive and Initiate FX Limit Order (PBA)</t>
  </si>
  <si>
    <t>Verify Trade Data and Confirmation (Forex Bulk Order) (PBA)</t>
  </si>
  <si>
    <t>Trade data is checked for completeness and confirmation is sent to the counterparty. Upon obtaining a matching trade, settlement is executed. An option is available to send MT527 (Triparty collateral instruction) to the triparty when there is a new Trilateral Repo Deal and also in case of amendments (Maturity date, Repo rate, Principal Increase, and Third Party Reference) in the trilateral REPO deal.</t>
  </si>
  <si>
    <t>The process describes capturing bulk Forex deal information. The bulk order creates an order (in FX.ORDER) on authorisation.</t>
  </si>
  <si>
    <t>This process describes the activities involved in the rollover of an existing Deal either partially or fully. The existing deal is cancelled and a new Deal is created subsequently. Cancellation details are sent to the back office supervisor for review and authorisation. Post authorisation, confirmation advice is sent to the counterparty.</t>
  </si>
  <si>
    <t>This process describes the Settlement of FRA deals and the generation of settlement messages.</t>
  </si>
  <si>
    <t>This process describes the settlement of REPO/RESO deals, posting of accounting entries, and generation of SWIFT messages. On the repurchase date (maturity date) the system passes the necessary accounting entries and sends appropriate SWIFT messages for settlement of cash/ securities automatically.</t>
  </si>
  <si>
    <t>This process describes capturing a REPO/RESO deal in the system and providing trade data to the back office for further processing. Floating-rate Repos can be input by linking the Periodic Interest table to a Repo contract for the CLASSIC type of Repo contracts. Intra-day Repos can be input by setting the INTRADAY.TRADE to YES, providing the Start and End Time of the contract. The system calculates the interest amount for the duration between the start and end time, and the contract matures on the same day.</t>
  </si>
  <si>
    <t>This process involves the formulation of an appropriate REPO/ RESO deal strategy after analysis of the current position and market information.</t>
  </si>
  <si>
    <t>A Limit Order, is an order to close a trade when the market moves to a specified amount to the advantage of a position. This process describes the activities associated with receipt and initiation of FX limit orders</t>
  </si>
  <si>
    <t>Execute Inward Credit Transfer (SIC Instant)</t>
  </si>
  <si>
    <t>3.4.5.6.3 SIC Instant Transfers</t>
  </si>
  <si>
    <t>This process describes the activities involved in receiving a SIC instant Credit transfer payment. Post syntax validations and payment validations (e.g. Credit party determination, duplicate check) are performed. If validations are unsuccessful, a negative response (pacs.002) with the code “RJCT” is sent to SIC clearing. A positive response (pacs.002) with the code “ACCP” is sent to SIC clearing if validation is successful. Based on the response received the payment is either processed, rejected, or resubmitted and the customer is notified.</t>
  </si>
  <si>
    <t>Create and Update CRS Supplementary Information Record (Automatic) *</t>
  </si>
  <si>
    <t>Create and Update CRS Supplementary Information Record (Manual) *</t>
  </si>
  <si>
    <t>Create and Update FATCA Supplementary Information Record (Automatic) *</t>
  </si>
  <si>
    <t>Create and Update FATCA Supplementary Information Record (Manual) *</t>
  </si>
  <si>
    <t>3.4.5.14.1 Iberpay Instant Payments</t>
  </si>
  <si>
    <t>Execute Cancellation Request from Clearing (Iberpay Instant)</t>
  </si>
  <si>
    <t>Execute Inward Credit Transfer (Iberpay Instant)</t>
  </si>
  <si>
    <t>The process describes the transfer of funds between two financial institutions or a Book transfer between two NOSTRO accounts maintained by the bank. The output will be the generation of outgoing messages like MT200 (Financial Institution transfer for its account) or MT202 (General Financial Institution transfer) or MT210 (Pre-advice of funds instruction) or pacs.009 (Financial Institution Credit Transfer) or camt.057 (Notification to receive) or pacs.009 ADV (Pre-advice of Financial Institution Credit Transfer) and confirmation messages like MT900 (confirmation of debit) &amp; MT910 (confirmation of credit)</t>
  </si>
  <si>
    <t>Amend Guarantee or Standby LC (PBA)</t>
  </si>
  <si>
    <t>Close Issued Guarantee or Standby LC (PBA)</t>
  </si>
  <si>
    <t>Generate Non-Extension Notification of Guarantee or Standby LC (PBA)</t>
  </si>
  <si>
    <t>Issue Back To Back Guarantee (PBA)</t>
  </si>
  <si>
    <t>Issue Counter Guarantee (PBA)</t>
  </si>
  <si>
    <t>Issue Guarantee (PBA)</t>
  </si>
  <si>
    <t>Pay or Reject Claim Under Guarantee (PBA)</t>
  </si>
  <si>
    <t>Pay or Reject Claim Under Standby LC (PBA)</t>
  </si>
  <si>
    <t>Register Claims (PBA)</t>
  </si>
  <si>
    <t>Reinstate Expired Guarantee (PBA)</t>
  </si>
  <si>
    <t>21.1.10 Trade Finance Processes</t>
  </si>
  <si>
    <t>This Process describes the activities involved in closing Guarantee/ Standby LC on expiry/ prematurely.</t>
  </si>
  <si>
    <t>The process describes activities for issuing a counter guarantee based on customer request.</t>
  </si>
  <si>
    <t>This Process describes the activities for handling the invocation of bank guarantee by the beneficiary/ beneficiary's bank. Payment can be made through Payment Order when invocation proceeds needs to be routed through Nostro Account.</t>
  </si>
  <si>
    <t>This process describes the activities involved in paying or rejecting the invocation claim of an issued Standby LC. Payment can also be made through Payment Order when payment needs to be routed through the Nostro Account.</t>
  </si>
  <si>
    <t>Calculate Interest Rate Risk in Banking Book</t>
  </si>
  <si>
    <t>This process describes the activities involved in calculating the interest rate risk in banking books.</t>
  </si>
  <si>
    <t xml:space="preserve">
13.12 Financial Accounting Standards (US)</t>
  </si>
  <si>
    <t>13.12.1 FAS91 Recognition of Fees</t>
  </si>
  <si>
    <t>Move Loan from Performing to Non Performing</t>
  </si>
  <si>
    <t>Perform Loan Recovery from Charged Off Loan</t>
  </si>
  <si>
    <t>Perform Partial or Full Charge Off on Non-Performing Loan</t>
  </si>
  <si>
    <t>Perform Write Off on Non Performing Loan</t>
  </si>
  <si>
    <t>Resume Accruals or Amortisation on Partially Charged Off Loan</t>
  </si>
  <si>
    <t>Resume Loans from Non-Performing to Performing</t>
  </si>
  <si>
    <t>The process describes the migration of contracts from the legacy system to the transact during the migration process. When a loan is migrated from a legacy system or is taken over to comply with the FAS91 requirements, certain non-refundable loan fees associated with the loan must also be taken over along with the loan using the Takeover activity and Balance Maintenance Property Class.</t>
  </si>
  <si>
    <t>This process explains the movement of a loan from a standard asset to a non-performing asset when there has been no repayment for more than a significant period. When a loan is moved to a non-performing status, the SUSPEND arrangement activity is triggered automatically (based on configuring a rule) or manually. When the contract is in non-performing status, the amortisation of the non-refundable fee and cost is stopped and the P&amp;L posting of interest accruals for the contract is also stopped.</t>
  </si>
  <si>
    <t>The process described the recovery on a full and partially charged-off loan. Whenever the borrower repays the charged-off loan, the user needs to trigger the IFRS repayment activity indicating the repayment amount. For a full charged off loan, the recovery amount is always accounted. For a partially Charged off loan, IFRS processing compares the contract balance against the charge off amount after the recovery.</t>
  </si>
  <si>
    <t>The process describes the activities involved in Charge off activity on a non-performing loan. The Charge off activity is triggered by capturing either the charge off amount or a charge off percentage based on the loan amount. IFRS processing calculates and returns the net carrying amount of the loan after applying the charge-off amount and the cash flow engine updates the EB.CASHFLOW application. If the net carrying amount is greater than 0 after charge off, the charge off flag is set to Partial Charge off. If the net carrying amount is equal to 0 after charge-off, the charge off flag is set to Full Charge off. If the net carrying amount is less than 0 after charge off, as error is raised.</t>
  </si>
  <si>
    <t>The process explains the steps involved in Write-off activity on a partial or Fully Charged-off non-performing loan.</t>
  </si>
  <si>
    <t>The process explains resuming a partially charged-off loan. When a partially charged-off loan is resumed to accrual status, EB.ACCRUAL records resume amortization, delta accounting, and the charged off amount is reversed.</t>
  </si>
  <si>
    <t>This process describes the upgradation of an NPA(Non Performing Account) loan account to a performing status on repayment of due. The amount of interest accruals suspended when the loan was in non-performing status is considered a new charge like that of the fee and cost. EIR (Effective Interest Rate) is recalculated with the new carrying amount on the date of the RESUME event (includes fee cost and NAB interest). The amortisation of the fee and charges available for the contract resumes on pro rata basis from the date of resumption until maturity based on the new EIR.</t>
  </si>
  <si>
    <t>18.5.6 Payoff and Prepayments (AS)</t>
  </si>
  <si>
    <t>Perform Early Payoff (AS)</t>
  </si>
  <si>
    <t>Perform Prepayments (AS)</t>
  </si>
  <si>
    <t>This process performs an early closure (payoff) of an asset finance arrangement. The customer/lessee can request an early payoff to buy out/purchase the asset before the contract maturity date.</t>
  </si>
  <si>
    <t>This process describes receiving and executing the prepayment request from Customer. The prepayment feature allows the lessee to settle a part amount in the outstanding balances. The calculated prepayment amount includes unbilled principal and interest portion.</t>
  </si>
  <si>
    <t>Initiate Outward Cancellation Request for Customer Transfer (PP)</t>
  </si>
  <si>
    <t>Initiate Outward Cancellation Request for Bank Transfer (PP)</t>
  </si>
  <si>
    <t>Process Reversal or Cancellation of Inward Remittance (XML) (PP)</t>
  </si>
  <si>
    <t>This process describes the activities involved in initiating a recall request (camt.056) of outward remittance by a Customer. The recall request is initiated post checking of the acceptance period. Based on the response received, the recall request is accepted or rejected.</t>
  </si>
  <si>
    <t xml:space="preserve">This process describes the activities involved in initiating a recall request (camt.056 and camt.058) for outward remittance sent by a Bank. The recall request is initiated post checking of the acceptance period. Based on the response received, the recall request is accepted or rejected.
</t>
  </si>
  <si>
    <t>Initiate Account Reporting Request to Clearing (Fedwire)</t>
  </si>
  <si>
    <t>Initiate Message Retrieval Request (Fedwire)</t>
  </si>
  <si>
    <t>The process describes the activities involved in initiating an account reporting request to Fedwire Clearing.</t>
  </si>
  <si>
    <t>This process describes the activities involved in initiating a Retrieval Request (admi.006). A retrieval request is a Fedwire Participant's message to request the Fedwire Funds Service to retrieve a particular message. The participant can send retrieval requests for the previously sent or received messages (pacs.008, pacs.009, pacs.004, camt.056, camt.029, camt.110 and camt.111) either on the current day or within a specified period (for the transaction initiated 2 days prior only).</t>
  </si>
  <si>
    <t>3.4.3.6 Direct Entry Agency Banking</t>
  </si>
  <si>
    <t>Initiate Outward Cancellation Request through GPI Tracker (PP)</t>
  </si>
  <si>
    <t>This process describes the activities involved in initiating a recall request (camt.056) sent through the GPI tracker for outward remittance. The recall request is initiated after checking the acceptance period. Appropriate positive/ negative responses for camt.056 are received via pacs.004/ pacs.002 and camt.029. Customers are further informed of the responses received via CAMT.029, pain.002 or API.</t>
  </si>
  <si>
    <t>Execute Inward Cancellation Request through GPI tracker (PP)</t>
  </si>
  <si>
    <t>This process describes the activities involved in receiving a recall request (camt.056) by GPI tracker for an inward remittance. Appropriate positive/ negative responses for camt.056 are sent via pacs.004/ pacs.002 and camt.029. Customers are further informed of the responses sent via pain.002 or API.</t>
  </si>
  <si>
    <t>This process describes the steps in initiating a claim request for an incoming customer credit transfer (103, 103+, 102, 102+, pacs.008, pacs.009). Post validation checks, the claim request is generated (camt.106 or MT191) and sent to clearing/ SWIFT.</t>
  </si>
  <si>
    <t>This process describes the activities involved in processing response received (pacs.002) from Clearing/ SWIFT for a previously redirected payment. If negative response is received, Original transaction is identified and return transaction is created. Funds are credited back to correspondent nostro or clearing nostro and message (pacs.004) sent to Clearing/ SWIFT. Audit trail of original transaction is updated if positive response is received.</t>
  </si>
  <si>
    <t>This process describes how the details of a person entity can be maintained, even after the customer stops its relationship with the bank. The PERSON.ENTITY linked to the customer being exited can be maintained or closed based on the decision of the Bank User. When the user decision is to close the Person Entity, the Status of the PERSON.ENTITY gets marked as 'Ex-Customer'. When the user decision is to maintain the PERSON.ENTITY the Status of the Person Entity gets marked as 'Active Ex-Customer'.</t>
  </si>
  <si>
    <t>The platform-based approach processes provides a comprehensive and detailed understanding of user journeys within Transact - Core Banking, Payments, Loans, Wealth, Corporate, Trade Finance, Treasury, Financial Crime Mitigation, Cash Management packages.</t>
  </si>
  <si>
    <t>10.5 Islamic Syndication</t>
  </si>
  <si>
    <t>10.5.1 Corporate Deal (Islamic)</t>
  </si>
  <si>
    <t>Amend Corporate Deal (Islamic)</t>
  </si>
  <si>
    <t>Close Corporate Deal (Islamic)</t>
  </si>
  <si>
    <t>Create Corporate Deal (Islamic)</t>
  </si>
  <si>
    <t>This process describes the activities involved in amending an existing Islamic Corporate deal arrangement account.</t>
  </si>
  <si>
    <t>This process describes the activities involved in closing an Islamic corporate deal arrangement.</t>
  </si>
  <si>
    <t>This process describes the activities involved in opening an Islamic corporate deal arrangement account for a customer</t>
  </si>
  <si>
    <t>10.5.2 Syndicate Facility (Islamic)</t>
  </si>
  <si>
    <t>Amend Syndicate Facility (Islamic)</t>
  </si>
  <si>
    <t>Close Syndicate Facility Arrangement (Islamic)</t>
  </si>
  <si>
    <t>Create Collateral Pool (Islamic)</t>
  </si>
  <si>
    <t>Create Standalone Syndicate Facility (Islamic)</t>
  </si>
  <si>
    <t>Create Syndicate Facility under Deal (Islamic)</t>
  </si>
  <si>
    <t>Perform Repayment at Syndicate Facility (Islamic)</t>
  </si>
  <si>
    <t>Perform Share Transfer for Syndicate Facility (Islamic)</t>
  </si>
  <si>
    <t>Perform Split or Merge or Rollover of Drawings from Syndicate Facility (Islamic)</t>
  </si>
  <si>
    <t>This process describes the activities involved in amending an existing facility arrangement account as requested.</t>
  </si>
  <si>
    <t>This process describes the activities involved in the closure of an Islamic Syndicate facility arrangement.</t>
  </si>
  <si>
    <t>This Process describes the activities involved in the creation of Collateral and grouping collaterals of a customer logically in order to create Collateral Accounts. Further, Collateral Accounts of various customers are pooled together to create a Collateral Pool that covers exposure.</t>
  </si>
  <si>
    <t>This process describes the activities involved in creating a standalone Islamic Syndicate Facility arrangement for a customer.</t>
  </si>
  <si>
    <t>This process describes the activities involved in creating a Islamic Syndicate facility under a deal.</t>
  </si>
  <si>
    <t>This process depicts activities related to repayment of an Islamic Syndicate Facility either by cash or account transfer. Option to repay through payment order is possible for scheduled repayments.</t>
  </si>
  <si>
    <t>This process describes the activities involved in performing a Share Transfer for a Facility.</t>
  </si>
  <si>
    <t>This process describes the activities involved in performing Split/ Merge/ Rollover of Drawings under a Syndicated Islamic Facility.</t>
  </si>
  <si>
    <t>10.5.3 Syndicate Finance (Islamic)</t>
  </si>
  <si>
    <t>10.5.3.1 Syndicate Ijara Finance (Islamic)</t>
  </si>
  <si>
    <t>Create Syndicate Ijara Finance (Islamic)</t>
  </si>
  <si>
    <t>Create Syndicate Ijara Finance Contract (Islamic)</t>
  </si>
  <si>
    <t>Perform Disbursement of Syndicate Ijara Finance Under Facility (Islamic)</t>
  </si>
  <si>
    <t>Perform Share Transfer for Standalone Syndicate Ijara Finance (Islamic)</t>
  </si>
  <si>
    <t>Perform Split or Merge or Rollover of Syndicate Ijara Finance (Islamic)</t>
  </si>
  <si>
    <t>Perform Syndicate Ijara Finance Charge-Off (Islamic)</t>
  </si>
  <si>
    <t>Perform Syndicate Ijara Finance Under Facility (Islamic)</t>
  </si>
  <si>
    <t>This process describes the activities involved in creating a Syndicate Ijara Finance.</t>
  </si>
  <si>
    <t>This process describes the creation of a Syndicate Ijara Finance Contract. A syndicate Ijara finance contract is a financing agreement between multiple banks or financial institutions to fund a single customer using an Ijara contract.</t>
  </si>
  <si>
    <t>This process describes the activities involved in the disbursement of Syndicate Ijara Finance Under Facility arrangement.</t>
  </si>
  <si>
    <t>This process describes the activities involved in performing a Share Transfer for Standalone Syndicate Ijara Finance.</t>
  </si>
  <si>
    <t>This process describes the activities involved in performing a Split, Merge, or rollover of Syndicate Ijara Finance. The activity is initiated from drawings under a Facility and performed on one or more finances under the facility. The following activities can be performed: - Split existing finances into multiple new finances - Merge two or more existing finances into new finances - Roll over existing finances.</t>
  </si>
  <si>
    <t>This process describes the steps involved in performing a Finance charge-off. The bank may charge-off the principal balance or principal balance, interest, and charges of finance due to reasons like finance is deemed doubtful.</t>
  </si>
  <si>
    <t>This process describes the activities involved in performing the drawdown of a facility by creating an Islamic syndicate facility arrangement under the facility based on the allowed products set. A drawdown cannot be performed for a blocked facility or in case of insufficient commitment balance. Finance arrangement details along with Interest Pricing, Repayment Method, Repayment Schedule, and Settlement Instructions are captured.</t>
  </si>
  <si>
    <t>10.5.3.2 Syndicate Murabaha Finance (Islamic)</t>
  </si>
  <si>
    <t>Create Syndicate Murabaha Finance (Islamic)</t>
  </si>
  <si>
    <t>Create Syndicate Murabaha Finance Contract (Islamic)</t>
  </si>
  <si>
    <t>Perform Disbursement of Syndicate Murabaha Drawings Under Facility (Islamic)</t>
  </si>
  <si>
    <t>Perform Share Transfer for Standalone Syndicate Murabaha Finance (Islamic)</t>
  </si>
  <si>
    <t>Perform Split or Merge or Rollover of Syndicate Murabaha Drawings (Islamic)</t>
  </si>
  <si>
    <t>Perform Syndicate Murabaha Drawings Under Facility (Islamic)</t>
  </si>
  <si>
    <t>Perform Syndicate Murabaha Finance Charge-Off (Islamic)</t>
  </si>
  <si>
    <t>This process describes the creation of a Syndicate Murabaha Finance Contract. A syndicate Murabaha finance contract is a financing agreement between multiple banks or financial institutions to fund a single customer using a Murabaha contract.</t>
  </si>
  <si>
    <t>The process begins with the receipt of a completed finance application from the Customer. The application could be received for a named/ quantified Asset. Asset details are captured and approved for the purchase of Asset/ Commodity.</t>
  </si>
  <si>
    <t>This process describes the activities involved in disbursement of funds from a Syndicate Murabaha Finance Under Facility drawing arrangement. The Payout Beneficiary for the arrangement is checked and funds are disbursed as per schedule. If Payout Beneficiary is unavailable, the funds are disbursed manually. Notices gets generated based on the type of Facility.</t>
  </si>
  <si>
    <t>This process describes the activities involved in performing a Share Transfer for a Standalone Loan Syndicate Murabaha Finance. The activity is either initiated by the .bank or based on an intimation received from another participant. Share Transfer can be performed between two existing participants, between an existing participant and new participant or as a Buy-back activity (Own bank buys back share of all other participants involved in the Standalone Loan)</t>
  </si>
  <si>
    <t>This process describes the activities involved in performing Split/ Merge/ Rollover of Syndicate Murabaha Drawings. The activity is initiated from Drawings under a Facility and is performed on one or more drawings under the facility. The following types of activities can be performed: - Split existing drawings into multiple new drawings - Merge two or more existing drawings into a new drawing - Rollover an existing drawing.</t>
  </si>
  <si>
    <t>This process describes the activities involved in performing drawdown under a facility based on the allowed products set. A drawdown cannot be performed for a blocked facility or in case of insufficient commitment balance. Loan arrangement details along with Interest Pricing, Repayment Method, Repayment Schedule and Settlement Instructions are captured.</t>
  </si>
  <si>
    <t>This process describes the steps involved in performing a Syndicate Murabaha Finance charge-off. The bank may charge-off the principal balance or the principal balance, interest, and charges of a loan due to reasons like the loan is deemed doubtful.</t>
  </si>
  <si>
    <t>Perform Repossession (AS)</t>
  </si>
  <si>
    <t>Perform Restructuring (AS)</t>
  </si>
  <si>
    <t>Perform Termination (AS)</t>
  </si>
  <si>
    <t>The Process describes the repossession feature. The maturity option 'Return the Asset' or Repossession denotes that the Lessee must return the asset by the end of the arrangement's term.</t>
  </si>
  <si>
    <t>This process describes the restructuring feature, which allows the bank or financial institutions to reinstate the terminated contracts to their current status with the term based on the agreement with the lessee or customer.</t>
  </si>
  <si>
    <t>This process describes the activities involved in the Termination of an arrangement allowing the lessor or lessee to terminate or pre-close the agreement. In this pre-closure process, the asset is repossessed by the lessor, that is, the asset is returned by the lessee (customer) to the lessor (banks/FIs).</t>
  </si>
  <si>
    <t>Invoke FCM Service for Retail Customer Onboarding (Temenos Digital)</t>
  </si>
  <si>
    <t>This process describes, how the Retail Origination interaction with FCM supports the following capabilities:
Customer Sanctions and PEP Matching
KYC Customer Risk Assessment
Any customer application that does not trigger a hit, will proceed as straight-through processing (STP).
Temenos Financial Crime Mitigation (FCM) helps banks reduce costs and improve security by offering integrated fraud prevention, compliance, and risk management solutions. It ensures regulatory compliance while enhancing operational efficiency and customer service.</t>
  </si>
  <si>
    <t>Enroll Individual Customer (Temenos Digital)</t>
  </si>
  <si>
    <t>16.8 Temenos Digital Spotlight</t>
  </si>
  <si>
    <t>This process explains the activities involved in enrolling an existing individual customer in digital banking. The below needs to be checked before enrolling
- The customer to be enrolled does not have a contract created in Digital
- In the 'Add Customer' flow, the customer to which the user will be given access to, the customer will have a contract already existing.</t>
  </si>
  <si>
    <t>Compute Liquidity Gap Analysis</t>
  </si>
  <si>
    <t>This process describes the activities involved in liquidity gap analysis.</t>
  </si>
  <si>
    <t>Manage Split or Merger of Loans</t>
  </si>
  <si>
    <t>The process describes the amortization of the unamortized fee from the source loan(s) to the target loan(s) under the effective interest rate (EIR) method, particularly in scenarios involving loan splits or mergers. A corporate or retail loan can undergo a full or partial split or merge throughout its lifetime, based on a bank's decision or a borrower's request. A parent (source) loan splits into multiple smaller child (target) loans called Splits. A source loan splits entirely and transfers to the target loan(s) by closing the original source loan called a Full split. A source loan splits partially and transfers to the target loan(s) by modifying the source loan called a partial split. Multiple loans merge into one target loan, either by modifying one of the source loans or by creating a new target loan called a merger.</t>
  </si>
  <si>
    <t>13.10.3 IFRS16 Finance and Operating Lease</t>
  </si>
  <si>
    <t>The process describes the Modification or Derecognition for Finance and Operating Lease Contracts. For Finance Lease, for modifications with no increase in scope or a change in classification, the modification or derecognition requirements are based on the outcome of a quantitative test.  For reductions in the unguaranteed residual value, the system recognises changes in the carrying amount immediately in the P&amp;L without adjusting the original discount rate (i.e., the EIR), as changes in the unguaranteed residual value are not considered a lease modification. The system follows the recalculation logic specified in the corresponding IFRS for modifications related to the guaranteed residual VALUE.SUB.TYPE. For an Operating Lease, any modification to the lease contracts is treated as a new lease from the effective date of the modification.</t>
  </si>
  <si>
    <t>The process describes the activities involved in the takeover of finance lease contracts from an external system to Transact through user activity, ensuring compliance with IFRS16 during the migration process.</t>
  </si>
  <si>
    <t>The process explains the measurement of finance and operating lease contracts.
For finance leases,
- EIR is derived by discounting future cash flows (including periodic payments, guaranteed residual value, and unguaranteed residual value) to the net investment in the lease.
- Present value of lease payments is calculated by discounting at EIR.
- Delta is calculated using EIR and the accounting entries are raised
For operating leases:
- Straight-line amount of rental income is derived by dividing the total lease rentals (including variable lease payments) by the lease term.
- Delta is calculated for recognizing rental income using the straight-line method and the accounting entries are raised</t>
  </si>
  <si>
    <t>The process describes the activities involved in assigning a risk stage to a lease contract and calculation of ECL</t>
  </si>
  <si>
    <t>Manage Modification of Finance or Operating Lease Contracts</t>
  </si>
  <si>
    <t>Manage Takeover of Finance Lease Contract</t>
  </si>
  <si>
    <t>Measure Finance and Operating Lease Contract</t>
  </si>
  <si>
    <t>Perform Risk Staging and ECL Impairment on Finance or Operating Lease Contract</t>
  </si>
  <si>
    <t>Create Open Banking Consent (AIS and CBPII)</t>
  </si>
  <si>
    <t>This process depicts the Open Banking payment initiation from Third Party Provider (TPP). The user initiates a payment (Single, Future dated, Recurring) from TPP, and it flows through Temenos Digital for user authentication and approval. Standard Online banking login checks, accessible accounts, open banking access, eligibility check, etc., are performed post authentication. Once the checks are successful, the user is displayed with the payment review screen for approval. Post review and approval from the user in Temenos Digital (and the limit check is successful), payment record is created in Transact and the response is returned to TPP.</t>
  </si>
  <si>
    <t>This process depicts the creation of Open Banking Consent by Third Party Provider (TPP). The user initiates a consent (Account Information or Confirmation of Funds) from TPP, which flows through Temenos Digital for user authentication and approval. After the user reviews and approves the consent in Temenos Digital, it is recorded in Transact, and the response is returned to TPP. This consent is evidence that the user has an agreement with TPP and is willing to give their consent to access their accounts, balances, transactions, beneficiary information, etc.</t>
  </si>
  <si>
    <t>This process describes the steps involved in user revoking Open Banking consent given to an account holding institution from Third Party Provider (TPP) and Online Banking (OLB).</t>
  </si>
  <si>
    <t>Manage Arrangement account for NPP Payments (AUMB)</t>
  </si>
  <si>
    <t>This process describes the activities involved in registering NPP PayTo Debit Reachability and Credit Reachability while creating, modifying, or closing the Account.</t>
  </si>
  <si>
    <t>Manage Notice for Withdrawal in Term Deposit (AUMB)</t>
  </si>
  <si>
    <t>This process explains the amendment, cancellation, and execution of a notice withdrawal request. A Term Deposit can be withdrawn partially or fully before the maturity date by giving a notice which will be executed on the effective date as per the Product Configuration. Notice requests can be amended or cancelled before execution.</t>
  </si>
  <si>
    <t>Capture Notice for Withdrawal in Term Deposit (AUMB)</t>
  </si>
  <si>
    <t>This process describes the activities involved in capturing Notice requests for partial or full withdrawal. A Term Deposit can be withdrawn partially or fully before the maturity date by giving a notice which will be executed on the effective date as per the Product Configuration.</t>
  </si>
  <si>
    <t>Perform Early Redemption of Term Deposit (AUMB)</t>
  </si>
  <si>
    <t>This process elaborates on the details of online withdrawal of partial or full amounts by applying a break cost fee. A term deposit can be withdrawn online partially or fully before the maturity date.  This functionality will provide a reduction in the interest rate based on the remaining term.  The difference between the interest calculated at the original rate and the reduced rate is recovered as a break-cost fee.</t>
  </si>
  <si>
    <t>Create and Fund Deposit Account (HKMB)</t>
  </si>
  <si>
    <t>Create and Fund Pleasure Saving Deposit (HKMB)</t>
  </si>
  <si>
    <t>Perform Deposit Payout on Holiday (HKMB)</t>
  </si>
  <si>
    <t>Perform Redemption of Pleasure Saving Deposit (HKMB)</t>
  </si>
  <si>
    <t>This process describes the activities involved in  the creation and funding of deposit in Hong Kong</t>
  </si>
  <si>
    <t>This process describes the activities involved in managing a pleasure-saving deposit.</t>
  </si>
  <si>
    <t>This process explains the payout process on Holidays for a deposit maturity or interest payout. It also describes the other actions including the rollover of deposits and changing products for a deposit on a holiday.</t>
  </si>
  <si>
    <t>This process describes the activities involved in the redemption of a pleasure savings deposit.</t>
  </si>
  <si>
    <t>Perform Manual Classification of Loans (MXMB)</t>
  </si>
  <si>
    <t>Process Partial or Total Renewal of Loan (MXMB)</t>
  </si>
  <si>
    <t>Process Restructure of Loan (MXMB)</t>
  </si>
  <si>
    <t>This process describes the activities involved in the manual classification of loans following Mexican regulations.</t>
  </si>
  <si>
    <t>This process explains the partial or total renewal of a loan as per Mexican regulation</t>
  </si>
  <si>
    <t>This process describes the activities involved in the restructuring of loan as per Mexican regulations</t>
  </si>
  <si>
    <t>Manage Cheque Book Request (MXMB)</t>
  </si>
  <si>
    <t>This process describes the activities involved in the cheque issuance process, as per Mexican regulations.</t>
  </si>
  <si>
    <t>Manage Reinvestment Instruction for Term Deposit (NZMB)</t>
  </si>
  <si>
    <t>Update Payin or Payout Account in Term Deposit (NZMB)</t>
  </si>
  <si>
    <t>Update Reinvestment Instruction for Term Deposit (NZMB)</t>
  </si>
  <si>
    <t>Update Settlement Account for Term Deposit (NZMB)</t>
  </si>
  <si>
    <t>This process describes the activities involved in updating deposits. The reinvestment instruction for a term deposit can be modified or cancelled before maturity or rollover date.</t>
  </si>
  <si>
    <t>This process describes the activities involved in amending Payin or Payout account number in a Term Deposit</t>
  </si>
  <si>
    <t>This process describes the activities involved in updating Reinvestment Instructions for Term Deposits. The customer shares the reinvestment instructions before the maturity or rollover date, and the instructions will be executed on the maturity or rollover date.</t>
  </si>
  <si>
    <t>This process explains the validations in updating settlement account for a term deposit by following the Payments New Zealand (PNZ) bank account numbering convention or standard which is subject to two modulus check – Module 11a and Module 11c. During creation of Term Deposit, Payin or Payout Account number entered in external Property Class XNZ.ADDITIONAL.INFO should be validated either for 11a module check or 11c module check.</t>
  </si>
  <si>
    <t>11.11 Global Specific Processes</t>
  </si>
  <si>
    <t>Process Post Dated Cheques (Global)</t>
  </si>
  <si>
    <t>This process describes the management of Post Dated Cheques (PDCs), covering its lifecycle from lodging PDC Register, sending them for collection and raising accounting entries.</t>
  </si>
  <si>
    <t>Validate and Execute File from Indirect Participant (Type 1 and Type 2) (AU DE)</t>
  </si>
  <si>
    <t>Execute Inward File from Direct Participant (Type 1 and Type 2) (AU DE)</t>
  </si>
  <si>
    <t>Execute Outward Return file from Direct Participant (Type 2 and Type 3) (AU DE)</t>
  </si>
  <si>
    <t>Process Inward Return File from Indirect Participant (Type 2 and Type 3) (AU DE)</t>
  </si>
  <si>
    <t>This process describes the activities involved in receiving Type 1 transactions (CT and DD) in Data files from Direct participants. Once received in TPH, file level validations should be performed first, followed by transaction level validations. Upon successful validations, individual transactions should be moved to 706 (Waiting for Clearing/IP) status and file is sent to Indirect Participants. If there are any file level validation failures, then the entire file should be rejected. If there are any transaction level validation failures, then the individual transaction should be rejected.</t>
  </si>
  <si>
    <t>The process describes the activities involved in receiving Type 2 transactions received in Data files from Direct participants. Once received in TPH, file level validations should be performed. For incoming Type 2 transactions, the original transaction - Corresponding Type 1 is identified.  Upon successful matching, Transaction level validations are performed. If any transaction level validations fail, TPH generates Type 3 Refusal and sends it back to Direct Participants. If there are no transaction level validation failures, the transaction should be moved to status 706 (Waiting for Clearing/IP). At the configured frequency for the Indirect Participant (Bank's Client), the system generates one file per BSB in standard BECS format the bulk of transactions in the file is based on the Sender's User ID, Receiver BSB and Transaction type. A single consolidated file level settlement (NDE/BECS) entry as per Net Amount gets posted. If the Net Amount is negative, the system posts a Debit entry; if it is positive, Credit entries are posted.</t>
  </si>
  <si>
    <t>The process describes the activities involved in receiving Type 2 return transactions with their receipt from indirect participants. Once received, file-level validations are performed to ensure the file integrity. If validations fail, the file is rejected. Upon successful file-level validation, the system debulks the file and maps individual transactions using a pre-defined mapping sheet, locating the original transaction and its corresponding Type 1 transaction. Post debulking, transaction-level validations are conducted, and transaction status progresses to Waiting - Clearing/IP ( 706) on successful validation. Once all validations are completed, files are generated and sent to the originating financial institution (OFI) at a configured frequency.</t>
  </si>
  <si>
    <t>Initiate and Execute Outward Zero Dollar FedNow Request for Payment</t>
  </si>
  <si>
    <t>Execute Inward Information Request for Request For Payment (FedNow)</t>
  </si>
  <si>
    <t>This process describes the activities involved in initiating a Zero-dollar Request for Payment message by the debtor agent to check if the creditor agent is enabled to receive and act upon it. While it is not required to use zero-dollar Request for Payment messages before sending actual Request for Payment, it is recommended to improve the overall biller/customer experience with Request for Payment onboarding.</t>
  </si>
  <si>
    <t>This process describes the activities involved in receiving an information request (camt.026) message for a previously sent RFP (pain.013)message. Receipt Acknowledgment (admi.007) is received following a successful syntax validation of the sent (camt.026) message. As a response to the received information request, the system sends (camt.029)  with the following status codes: INFO (Additional Information Sent), PDNG (Pending), NINF (No further information available), IPAY (Payment Initiated), and IDUP (Duplicate Payment). If an information request response (camt.029) message is sent with the status code INFO, the additional payment details are delivered through an additional payment information (camt.028) message. The Receipt Acknowledgment (admi.007) message is received from the recipient of camt.029 and clearing as confirmation of receipt, and in the event of validation failure clearing will send a Message Reject (admi.002).</t>
  </si>
  <si>
    <t>Execute Inward Cancellation Request from Clearing (SIC Instant)</t>
  </si>
  <si>
    <t xml:space="preserve">This process describes the activities involved in receiving the incoming camt.056 for the processed pacs.008 credit transfers. Cancellation requests can either be accepted or rejected Once the cancellation request is accepted, TPH should generate pacs.004 to the clearing. If a cancellation request is rejected, negative camt.029 along with the reject reason code (RJCT) is generated. An investigation message (pacs.028) is received if the cancellation request is not actioned within the specified time. 
</t>
  </si>
  <si>
    <t>Execute Settlement (Sec or Own Book) (PBA)</t>
  </si>
  <si>
    <t>Execute Trade (Sec or Own Book) (PBA)</t>
  </si>
  <si>
    <t>Exercise Option or Assignment (PBA)</t>
  </si>
  <si>
    <t>Generate Advices and Perform Pre Matching (Sec or Own Book) (PBA)</t>
  </si>
  <si>
    <t>Perform Dealer Book Portfolio Transfer (PBA)</t>
  </si>
  <si>
    <t>Perform Off-Market Trade or Transfers (Own Book) (PBA)</t>
  </si>
  <si>
    <t>Perform Position and Market Analysis (SEC or Own Book) (PBA)</t>
  </si>
  <si>
    <t>This process describes the settlement of a trade (Sec/Own book). On trade authorization and once the advice and pre-matching is complete, the system automatically checks for the type of settlement to be performed (actual vs contractual). On receipt of appropriate settlement confirmation from the depository/ custodian, trade is “settled” with the updation of cash and security positions.</t>
  </si>
  <si>
    <t>This process describes the execution of a trade (Sec/ Own book). The trade details are captured in the system where automatic validation vis-à-vis validation of trade data for stock and cash availability, restrictions, etc., is carried out.</t>
  </si>
  <si>
    <t>The process describes the authorising of security trades for proprietary (own book) portfolios. After trade authorisation, the system will post accounting entries and advice to Broker &amp; Custodian will be generated.</t>
  </si>
  <si>
    <t>This process describes the transfer of assets between dealer book portfolios. The positions are defined, and transfer details are captured and updated.</t>
  </si>
  <si>
    <t>This process describes the activities related to data capture for off-market transfer in/ out of Proprietary (own-book) portfolios.</t>
  </si>
  <si>
    <t>Create Security Master (PBA)</t>
  </si>
  <si>
    <t>Maintain Securities Model (PBA)</t>
  </si>
  <si>
    <t>Maintain Security Prices (PBA)</t>
  </si>
  <si>
    <t>Maintain Security Recommendation (PBA)</t>
  </si>
  <si>
    <t>Maintain Trailer Fees (PBA)</t>
  </si>
  <si>
    <t>Perform Stock Reconciliation (PBA)</t>
  </si>
  <si>
    <t>Set Up Broker (PBA)</t>
  </si>
  <si>
    <t>Set Up Depository (PBA)</t>
  </si>
  <si>
    <t>Set Up Global Constraints (PBA)</t>
  </si>
  <si>
    <t>The process describes the capturing of new securities into the master for future trading.</t>
  </si>
  <si>
    <t>This process describes the maintenance of a Securities Model, e.g. pure equity, balanced, etc. This is linked to the Investment Strategy file so that it can be used to rebalance the securities positions of existing portfolios.</t>
  </si>
  <si>
    <t>The security prices are updated in the tables through the external system's interface or manually updated.</t>
  </si>
  <si>
    <t>The recommended list of securities is provided by an investment analyst. Recommendations can be maintained in Transact and will be considered e.g. for Rebalancing.</t>
  </si>
  <si>
    <t>Trailer fee details are captured for securities that are already recorded at the issuer level.</t>
  </si>
  <si>
    <t>The broker is opened as a Customer in Transact. As part of this process, data relating to securities, Account creation (if required), and settlement instructions are captured.</t>
  </si>
  <si>
    <t>A depository or custodian is opened as a customer in transaction. As part of this process, data relating to the custodian's Securities, Nostro accounts, and SWIFT address are updated.</t>
  </si>
  <si>
    <t>Process to set up regulatory and institutional constraints. A Global constraint could be restriction for trades in certain countries, or stocks.</t>
  </si>
  <si>
    <t>Accept Import Collection (PBA)</t>
  </si>
  <si>
    <t>Advise Export LC (PBA)</t>
  </si>
  <si>
    <t>Amend Export Collection (PBA)</t>
  </si>
  <si>
    <t>Amend Export LC (PBA)</t>
  </si>
  <si>
    <t>Amend Import Collection (PBA)</t>
  </si>
  <si>
    <t>Amend Import LC (PBA)</t>
  </si>
  <si>
    <t>Cancel Export LC (PBA)</t>
  </si>
  <si>
    <t>Cancel Import LC (PBA)</t>
  </si>
  <si>
    <t>Close Import Collection (PBA)</t>
  </si>
  <si>
    <t>Issue Back To Back LC (PBA)</t>
  </si>
  <si>
    <t>Issue Import LC (PBA)</t>
  </si>
  <si>
    <t>Issue Shipping Guarantee Against Import Collection (PBA)</t>
  </si>
  <si>
    <t>Negotiate or Discount Export LC (Sight or Usance or Mixed) (PBA)</t>
  </si>
  <si>
    <t>Pre-Advise Import LC (PBA)</t>
  </si>
  <si>
    <t>Process Purchase of Export Collection Bills (PBA)</t>
  </si>
  <si>
    <t>Receive Acceptance or Rejection For Export Collection (PBA)</t>
  </si>
  <si>
    <t>Receive Import LC Application (PBA)</t>
  </si>
  <si>
    <t>Receive Pre-Advise of Export LC (PBA)</t>
  </si>
  <si>
    <t>Register Documents Against Export LC (Sight or Mixed) (PBA)</t>
  </si>
  <si>
    <t>Register Documents Against Export LC (Usance) (PBA)</t>
  </si>
  <si>
    <t>Register Documents Against Import LC (Mixed Payment) (PBA)</t>
  </si>
  <si>
    <t>Register Documents Against Import LC (Sight) (PBA)</t>
  </si>
  <si>
    <t>Register Documents Against Import LC (Usance) (PBA)</t>
  </si>
  <si>
    <t>Register Export Collection (PBA)</t>
  </si>
  <si>
    <t>Register Import Collection (PBA)</t>
  </si>
  <si>
    <t>Settle Export Collection (PBA)</t>
  </si>
  <si>
    <t>Settle Import Collection (PBA)</t>
  </si>
  <si>
    <t>Settle Import LC Without Documents (Sight) (PBA)</t>
  </si>
  <si>
    <t>Settle Purchase of Export Collection Bills (PBA)</t>
  </si>
  <si>
    <t>Transfer Export LC (PBA)</t>
  </si>
  <si>
    <t>Utilise Facility (SL) (PBA)</t>
  </si>
  <si>
    <t>The process describes the recording the acceptance received from the importer and advising the exporter's Bank.</t>
  </si>
  <si>
    <t>The process describes the activities to receive and advise the exporter of the Amendment of Export LC.</t>
  </si>
  <si>
    <t>This process describes activities for cancellation of Import LC.</t>
  </si>
  <si>
    <t>Process describes activities in case of a request from the Importer for the issue of shipping guarantee instead of Import Collection (which is yet to be received).</t>
  </si>
  <si>
    <t>This process describes the activities involved in capturing and approving Pre Advise and if required sending out MT705 to Correspondent Bank. Short particulars of LC are advised to the exporter's Bank through this process.</t>
  </si>
  <si>
    <t>This process depicts activities to receive &amp; verify LC application, check if existing facilities are sufficient to fulfil request and forwarding the application to Back Office for processing. This process also covers an online input of LC details by the Customer through Online Channels and the subsequent submission of documents at the branch.</t>
  </si>
  <si>
    <t>21.1.11 Financial Accounting Parameter Maintenance Processes</t>
  </si>
  <si>
    <t>Define And Maintain General Ledger Structure (PBA)</t>
  </si>
  <si>
    <t>Define And Maintain GL Report Column And Range (PBA)</t>
  </si>
  <si>
    <t>Define And Maintain GL Report Lines And Range (PBA)</t>
  </si>
  <si>
    <t>Define And Maintain GL Report Structure (PBA)</t>
  </si>
  <si>
    <t>Maintain Accounting Static Data (PBA)</t>
  </si>
  <si>
    <t>Maintain Bank Related Parameters (PBA)</t>
  </si>
  <si>
    <t>Maintain Customer Related Parameters (PBA)</t>
  </si>
  <si>
    <t>Maintain Finance Related Parameters (PBA)</t>
  </si>
  <si>
    <t>Map Chart Of Accounts To GL Structure (PBA)</t>
  </si>
  <si>
    <t>This process defines or maintains the GL lines and line ranges.</t>
  </si>
  <si>
    <t>This process defines the header details and format of entries to be included in the GL or PL report.</t>
  </si>
  <si>
    <t>This process describes the activities involved in maintaining the category codes, transaction codes, special transaction codes and internal accounts definition.</t>
  </si>
  <si>
    <t>This process depicts the activities involved in maintaining the bank-related parameters, including keeping the Company parameters, language(s), countries, country group and holiday list.</t>
  </si>
  <si>
    <t>Process for maintaining the parameters relating to the currency market, currency codes, department &amp; DAO codes, basic interest rates, and periodic interest rates such as LIBOR, etc.</t>
  </si>
  <si>
    <t>21.1.12 Factoring and Forfaiting</t>
  </si>
  <si>
    <t>Amend Receivables Register (PBA)</t>
  </si>
  <si>
    <t>Batch Receivables Registers (PBA)</t>
  </si>
  <si>
    <t>Change Product Type (Receivables) (PBA)</t>
  </si>
  <si>
    <t>Create Receivables Register (PBA)</t>
  </si>
  <si>
    <t>Perform Disbursement Under Batched Receivables (PBA)</t>
  </si>
  <si>
    <t>Perform Disbursement Under Receivables (PBA)</t>
  </si>
  <si>
    <t>Process Settlement of Receivables (PBA)</t>
  </si>
  <si>
    <t>Receivable Registers/Batch/ Contract can be amended for various reasons, like customer requests, changes of bill details, etc. After the Register/Batch/Contract amendment, the respective processes are triggered to complete the sequence. This process covers only the case, where the bill has not been sent for collection.</t>
  </si>
  <si>
    <t>The individual Receivables captured are batched for further execution. Each batch accommodates Receivables of the same customer, currency and product type. (This is an optional process)</t>
  </si>
  <si>
    <t>This process describes the activities involved in the disbursement of Batched Receivables done through Receivables contract. For discounted product types, the drawdown account is credited and messages sent. In case of Part disbursement of a Batch, amount can be appropriated to all the underlying Registers either at pro rata or FIFO basis.</t>
  </si>
  <si>
    <t>This process describes the activities involved in the disbursement of Receivables done through Receivables contract. For discounted product types, the drawdown account is credited and messages sent.</t>
  </si>
  <si>
    <t>This process describes the settlement process for Receivables. The settlement can happen as a full, partial, or rebate settlement.</t>
  </si>
  <si>
    <t>4.13 Intraday Liquidity Management</t>
  </si>
  <si>
    <t>Monitor Overall Liquidity of Nostro Accounts</t>
  </si>
  <si>
    <t>This process describes the activities involved in monitoring the overall liquidity across the nostro accounts.</t>
  </si>
  <si>
    <r>
      <t xml:space="preserve">Regionalized Solution Processes cater to features that are specific to a particular country/ region. 
</t>
    </r>
    <r>
      <rPr>
        <b/>
        <u/>
        <sz val="10"/>
        <rFont val="Arial"/>
        <family val="2"/>
      </rPr>
      <t xml:space="preserve">United Kingdom </t>
    </r>
    <r>
      <rPr>
        <b/>
        <sz val="10"/>
        <rFont val="Arial"/>
        <family val="2"/>
      </rPr>
      <t xml:space="preserve">specific processes cover Customer Relationship Management, Financial Services Compensation Scheme (FSCS), Continuity of Access (COA), CRS, BACS Clearing, Clear Bank Interface and ISA / JISA accounts/ deposits service offerings. 
</t>
    </r>
    <r>
      <rPr>
        <b/>
        <u/>
        <sz val="10"/>
        <rFont val="Arial"/>
        <family val="2"/>
      </rPr>
      <t>The United States</t>
    </r>
    <r>
      <rPr>
        <b/>
        <sz val="10"/>
        <rFont val="Arial"/>
        <family val="2"/>
      </rPr>
      <t xml:space="preserve"> specific processes cover Customer Relationship Management, Retail and Corporate service offerings.
</t>
    </r>
    <r>
      <rPr>
        <b/>
        <u/>
        <sz val="10"/>
        <rFont val="Arial"/>
        <family val="2"/>
      </rPr>
      <t>India</t>
    </r>
    <r>
      <rPr>
        <b/>
        <sz val="10"/>
        <rFont val="Arial"/>
        <family val="2"/>
      </rPr>
      <t xml:space="preserve"> specific processes cover Corporate service offerings.
</t>
    </r>
    <r>
      <rPr>
        <b/>
        <u/>
        <sz val="10"/>
        <rFont val="Arial"/>
        <family val="2"/>
      </rPr>
      <t>Australia</t>
    </r>
    <r>
      <rPr>
        <b/>
        <sz val="10"/>
        <rFont val="Arial"/>
        <family val="2"/>
      </rPr>
      <t xml:space="preserve"> specific processes cover Retail and Open banking service offerings.
</t>
    </r>
    <r>
      <rPr>
        <b/>
        <u/>
        <sz val="10"/>
        <rFont val="Arial"/>
        <family val="2"/>
      </rPr>
      <t>Peru</t>
    </r>
    <r>
      <rPr>
        <b/>
        <sz val="10"/>
        <rFont val="Arial"/>
        <family val="2"/>
      </rPr>
      <t xml:space="preserve"> specific processes cover Retail and Corporate service offerings.
</t>
    </r>
    <r>
      <rPr>
        <b/>
        <u/>
        <sz val="10"/>
        <rFont val="Arial"/>
        <family val="2"/>
      </rPr>
      <t>Argentina</t>
    </r>
    <r>
      <rPr>
        <b/>
        <sz val="10"/>
        <rFont val="Arial"/>
        <family val="2"/>
      </rPr>
      <t xml:space="preserve"> specific processes cover Retail and Corporate service offerings.
</t>
    </r>
    <r>
      <rPr>
        <b/>
        <u/>
        <sz val="10"/>
        <rFont val="Arial"/>
        <family val="2"/>
      </rPr>
      <t xml:space="preserve">Columbia </t>
    </r>
    <r>
      <rPr>
        <b/>
        <sz val="10"/>
        <rFont val="Arial"/>
        <family val="2"/>
      </rPr>
      <t xml:space="preserve">specific processes cover Retail service offerings.
</t>
    </r>
    <r>
      <rPr>
        <b/>
        <u/>
        <sz val="10"/>
        <rFont val="Arial"/>
        <family val="2"/>
      </rPr>
      <t xml:space="preserve">Mexico </t>
    </r>
    <r>
      <rPr>
        <b/>
        <sz val="10"/>
        <rFont val="Arial"/>
        <family val="2"/>
      </rPr>
      <t xml:space="preserve">specific processes cover Retail and Corporate service offerings.
</t>
    </r>
    <r>
      <rPr>
        <b/>
        <u/>
        <sz val="10"/>
        <rFont val="Arial"/>
        <family val="2"/>
      </rPr>
      <t>Hong Kong</t>
    </r>
    <r>
      <rPr>
        <sz val="10"/>
        <rFont val="Arial"/>
        <family val="2"/>
      </rPr>
      <t xml:space="preserve"> </t>
    </r>
    <r>
      <rPr>
        <b/>
        <sz val="10"/>
        <rFont val="Arial"/>
        <family val="2"/>
      </rPr>
      <t xml:space="preserve">specific processes cover Retail service offerings.
</t>
    </r>
    <r>
      <rPr>
        <b/>
        <u/>
        <sz val="10"/>
        <rFont val="Arial"/>
        <family val="2"/>
      </rPr>
      <t xml:space="preserve">New Zealand </t>
    </r>
    <r>
      <rPr>
        <b/>
        <sz val="10"/>
        <rFont val="Arial"/>
        <family val="2"/>
      </rPr>
      <t xml:space="preserve">specific processes cover Retail service offerings.
</t>
    </r>
    <r>
      <rPr>
        <b/>
        <u/>
        <sz val="10"/>
        <rFont val="Arial"/>
        <family val="2"/>
      </rPr>
      <t>Global</t>
    </r>
    <r>
      <rPr>
        <b/>
        <sz val="10"/>
        <rFont val="Arial"/>
        <family val="2"/>
      </rPr>
      <t xml:space="preserve"> specific processes to cover Retail and Corporate service offerings</t>
    </r>
  </si>
  <si>
    <t>Invoke FCM Service for Onboarding SME Customer (Temenos Digital)</t>
  </si>
  <si>
    <t>This process describes, how the SME Origination interaction with FCM supports the following capabilities:
Customer Sanctions, AML transaction monitoring, fraud prevention, and PEP Matching
KYC Customer Risk Assessment
Any customer application that does not trigger a hit, will proceed as straight-through processing (STP).
Temenos Financial Crime Mitigation (FCM) is a comprehensive solution designed to help banks and financial institutions reduce IT overheads, optimize compliance costs, and enhance customer protection. It offers advanced modules for sanctions screening, PEP matching, KYC, AML transaction monitoring, and fraud prevention. The platform seamlessly integrates with core systems, providing flexible deployment options to mitigate financial crime risks and ensure regulatory compliance.</t>
  </si>
  <si>
    <t>9.7 SWIFT Reference Directories</t>
  </si>
  <si>
    <t>Receive and Execute SWIFT Reference Directory</t>
  </si>
  <si>
    <t>This process describes the steps involved in uploading of the SWIFTRef Identifiers All /SEPA Directory into Transact and the updates of the Temenos Central Bank Directory and optionally, based on the setup, and/or IBAN Plus Directories.</t>
  </si>
  <si>
    <t>Perform Interest or Tax Adjustment for Accounts and Deposits (AUMB)</t>
  </si>
  <si>
    <t>This process describes the activities involved in performing an adjustment entry for tax or interest in accounts and deposits.</t>
  </si>
  <si>
    <t>Process Withholding Tax in Accounts and Deposits (AUMB)</t>
  </si>
  <si>
    <t>This process describes the steps to determine if the customer should pay the withholding tax or is exempt from paying. In Australia, Withholding Tax on Interest earned in Accounts and Deposits is calculated based on the configuration in AUWHTX.TAX.PARAMETER wherein the threshold amounts for Residents, Non-Residents and Minors are defined.  Tax will not be deducted if the Australian Business Number (ABN) or tax file number (TFN) are provided. When the minor attains the date of majority during the current tax year, the minor threshold should be considered for tax calculation.</t>
  </si>
  <si>
    <t>Execute Open Bank Resolution - Freeze Funds (NZMB)</t>
  </si>
  <si>
    <t>Execute Open Bank Resolution - Unfreeze Funds (NZMB)</t>
  </si>
  <si>
    <t>This process describes the steps in applying freeze to Part or entire funds in liability products viz, Deposits that the Bank holds. Execution of the Open Bank Resolution is initiated in the event of default in a bank and as per the guidelines of the Reserve Bank of New Zealand. Part or entire funds in liability products Deposits and Accounts are frozen for an indefinite period and released partially over some time as the financials of the bank improve. The Open Bank Resolution (OBR) is a stage when a statutory manager nominated by a regulator takes control of the bank in case of bank failure.</t>
  </si>
  <si>
    <t>This process describes the steps in unfreezing the freeze set on Part or entire funds in liability products viz, Deposits that the Bank holds. Freezed funds will be released back to the Customer on a percentage of the Frozen amount. Unfreeze may happen 100% in a single transaction or it can be multiple attempts as decided by Statutory Manager.</t>
  </si>
  <si>
    <t>13.3.1 Open Banking Consent and Payment Services</t>
  </si>
  <si>
    <t>Capture and Process Payment Initiation Request (PIS)</t>
  </si>
  <si>
    <t>R25 Model Bank</t>
  </si>
  <si>
    <t>Capture and Process Payment Initiation Request (PIS) *</t>
  </si>
  <si>
    <t>Create Open Banking Consent (AIS and CBPII) *</t>
  </si>
  <si>
    <t>Manage Loan Takeover</t>
  </si>
  <si>
    <t>This process describes the activities involved in the creation of an Operating Lease Asset Finance Arrangement. An operating lease is for a short term, which is less than the full economic life of the asset. Under an operating lease, the risk to the value of the asset falls on the lessor throughout the term of the lease. Once the lease term has ended, either the lessee returns the asset to the lessor or the parties negotiate an extension, and a further lease period begins.</t>
  </si>
  <si>
    <t>The process describes the activities to be performed in case the Importer refuses payment on import collection documents and the return of documents to the exporter's Bank.</t>
  </si>
  <si>
    <t>The process is triggered when the customer requests to exercise the option or when the counterparty informs about an assignment. The option is exercised/ assigned and Transact creates a closeout record. On committing the closeout record, the system creates Trades on exercise. The system can also be parameterized to exercise an Option if predefined conditions are met automatically. On exercising the equity option with physical settlement, settlement can be done using an alternate instrument if the same is defined in the contract master. Its contract size and price need to be entered during the closeout process. The system also supports cash payout for equity options when SETTLEMENT.METHOD is set to physical or cash respectively.</t>
  </si>
  <si>
    <t>This process describes the activities in initiating a cancellation request (camt.055) for a previously sent Request for Payment (pain.013). The cancellation request can be initiated only if the original Request For Payment order status is either “Request sent”, “Request delivered” or “Completed". The cancellation request (camt.055) is acknowledged by Clearing if admi.007 is received or rejected by Clearing if an admi.002 is received. The cancellation request response is received as camt.029 message with status code as PDCR, CNCL or RJCR.</t>
  </si>
  <si>
    <t>This process describes the activities involved in the cancellation of an outward credit transfer received via camt.055, API, etc. Post validation of the request, the cancellation request is accepted if the transaction is not completed or if the Intermediary/ beneficiary bank is not credited manually or automatically. Further, a cancellation request is generated as camt.056 to the clearing/ intermediary bank if funds are credited to the Intermediary/ beneficiary bank. Appropriate positive/negative responses for camt.056 are received via pacs.004 or pacs.002 along with camt.029. Customers are informed via camt.029, pain.002 or API.</t>
  </si>
  <si>
    <t>This process describes the steps involved in the cancellation of an outward credit transfer received via camt.055, API, etc. For file and Bulk cancellation requests, a positive or negative response is sent to the customer based on the original transaction status. For individual transactions, the cancellation request is actioned manually or automatically based on PP.SOURCE setting. The cancellation request can be manually accepted, rejected or marked as pending based on the original transaction status. The cancellation request is accepted automatically if the transaction is not in completed status or if the Intermediary/ beneficiary bank is not credited. The cancellation request is further generated as camt.056 to the clearing/ intermediary bank if funds are credited to the Intermediary/ beneficiary bank. Appropriate positive/negative responses for camt.056 are received via pacs.004 or pacs.002 or camt.029. Customers are informed via camt.029, pain.002 or API.</t>
  </si>
  <si>
    <t>This process describes the steps involved in the cancellation of an outward credit transfer received via camt.055, API, etc. Post validation of the request, the cancellation request is accepted if the transaction is not in completed status or if the Intermediary/ beneficiary bank is not credited manually or automatically. The cancellation request is further generated as camt.056 to the Clearing/ Intermediary bank if funds are credited to the Intermediary/ Beneficiary bank. Appropriate positive/negative responses for the camt.056 are received via pacs.004, pacs.002 or camt.029. Customers are informed via camt.029, pain.002 or API.</t>
  </si>
  <si>
    <t>This process describes the activities involved in receiving (Type 1) DE Standard Data files, GDES files, or Customer requests (Credit transfer) from Indirect Participants. The Customer requests a Credit transfer that can be initiated as a One-off and Scheduled payment through a payment order or Recurring payments through a Standing Order. The bulk files contain Credit transfer and Direct Debit transactions. "GDES" (Government Direct Entry System) is mentioned anywhere within the filename to confirm its type. Upon passing the file-level validations, the bulks within the file should be mapped as individual transactions in TPH. If the transaction validations are successful, a consolidated Biller detail file per Master Biller is generated. If there are any transaction-level validation failures, individual transactions should be returned (Type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</si>
</sst>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7" x14ac:knownFonts="1">
    <font>
      <sz val="11"/>
      <color theme="1"/>
      <name val="Calibri"/>
      <family val="2"/>
      <scheme val="minor"/>
    </font>
    <font>
      <sz val="11"/>
      <name val="Calibri"/>
      <family val="2"/>
      <scheme val="minor"/>
    </font>
    <font>
      <b/>
      <sz val="11"/>
      <color theme="1"/>
      <name val="Calibri"/>
      <family val="2"/>
      <scheme val="minor"/>
    </font>
    <font>
      <sz val="10"/>
      <name val="Arial"/>
      <family val="2"/>
    </font>
    <font>
      <b/>
      <sz val="11"/>
      <name val="Calibri"/>
      <family val="2"/>
    </font>
    <font>
      <sz val="11"/>
      <color theme="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rgb="FF9C6500"/>
      <name val="Calibri"/>
      <family val="2"/>
      <scheme val="minor"/>
    </font>
    <font>
      <sz val="11"/>
      <name val="Calibri"/>
      <family val="2"/>
    </font>
    <font>
      <b/>
      <sz val="16"/>
      <name val="Calibri"/>
      <family val="2"/>
    </font>
    <font>
      <i/>
      <sz val="11"/>
      <name val="Calibri"/>
      <family val="2"/>
    </font>
    <font>
      <b/>
      <sz val="14"/>
      <name val="Calibri"/>
      <family val="2"/>
    </font>
    <font>
      <b/>
      <sz val="10"/>
      <name val="Calibri"/>
      <family val="2"/>
    </font>
    <font>
      <b/>
      <sz val="10"/>
      <name val="Trebuchet MS"/>
      <family val="2"/>
    </font>
    <font>
      <b/>
      <sz val="11"/>
      <name val="Arial"/>
      <family val="2"/>
    </font>
    <font>
      <b/>
      <sz val="10"/>
      <name val="Arial"/>
      <family val="2"/>
    </font>
    <font>
      <b/>
      <u/>
      <sz val="10"/>
      <name val="Arial"/>
      <family val="2"/>
    </font>
    <font>
      <b/>
      <sz val="12"/>
      <name val="Arial"/>
      <family val="2"/>
    </font>
    <font>
      <b/>
      <sz val="11"/>
      <name val="Calibri"/>
      <family val="2"/>
      <scheme val="minor"/>
    </font>
    <font>
      <sz val="11"/>
      <color rgb="FF000000"/>
      <name val="Calibri"/>
      <family val="2"/>
    </font>
    <font>
      <sz val="11"/>
      <color theme="1"/>
      <name val="Calibri"/>
      <family val="2"/>
    </font>
    <font>
      <sz val="11"/>
      <color rgb="FF9C5700"/>
      <name val="Calibri"/>
      <family val="2"/>
      <scheme val="minor"/>
    </font>
    <font>
      <sz val="10"/>
      <color theme="1"/>
      <name val="Arial"/>
      <family val="2"/>
    </font>
    <font>
      <sz val="12"/>
      <name val="Calibri"/>
      <family val="2"/>
      <scheme val="minor"/>
    </font>
  </fonts>
  <fills count="43">
    <fill>
      <patternFill patternType="none"/>
    </fill>
    <fill>
      <patternFill patternType="gray125"/>
    </fill>
    <fill>
      <patternFill patternType="solid">
        <fgColor indexed="56"/>
        <bgColor indexed="64"/>
      </patternFill>
    </fill>
    <fill>
      <patternFill patternType="solid">
        <fgColor theme="0"/>
        <bgColor indexed="64"/>
      </patternFill>
    </fill>
    <fill>
      <patternFill patternType="solid">
        <fgColor rgb="FFFFFFFF"/>
        <bgColor rgb="FF000000"/>
      </patternFill>
    </fill>
    <fill>
      <patternFill patternType="solid">
        <fgColor rgb="FF003366"/>
        <bgColor rgb="FF000000"/>
      </patternFill>
    </fill>
    <fill>
      <patternFill patternType="solid">
        <fgColor theme="0"/>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8261"/>
        <bgColor rgb="FF000000"/>
      </patternFill>
    </fill>
    <fill>
      <patternFill patternType="solid">
        <fgColor rgb="FFF08261"/>
        <bgColor indexed="64"/>
      </patternFill>
    </fill>
    <fill>
      <patternFill patternType="solid">
        <fgColor rgb="FFC7C703"/>
        <bgColor rgb="FF000000"/>
      </patternFill>
    </fill>
    <fill>
      <patternFill patternType="solid">
        <fgColor rgb="FFC7C703"/>
        <bgColor indexed="64"/>
      </patternFill>
    </fill>
    <fill>
      <patternFill patternType="solid">
        <fgColor theme="4" tint="0.59999389629810485"/>
        <bgColor theme="4" tint="0.59999389629810485"/>
      </patternFill>
    </fill>
  </fills>
  <borders count="47">
    <border>
      <left/>
      <right/>
      <top/>
      <bottom/>
      <diagonal/>
    </border>
    <border>
      <left/>
      <right/>
      <top style="hair">
        <color indexed="64"/>
      </top>
      <bottom/>
      <diagonal/>
    </border>
    <border>
      <left style="thin">
        <color theme="3" tint="0.59999389629810485"/>
      </left>
      <right style="thin">
        <color theme="3" tint="0.59999389629810485"/>
      </right>
      <top style="thin">
        <color theme="3" tint="0.59999389629810485"/>
      </top>
      <bottom style="thin">
        <color theme="3" tint="0.59999389629810485"/>
      </bottom>
      <diagonal/>
    </border>
    <border>
      <left style="thin">
        <color theme="3" tint="0.39997558519241921"/>
      </left>
      <right style="thin">
        <color theme="3" tint="0.39997558519241921"/>
      </right>
      <top style="thin">
        <color theme="3" tint="0.39997558519241921"/>
      </top>
      <bottom style="thin">
        <color theme="3" tint="0.39997558519241921"/>
      </bottom>
      <diagonal/>
    </border>
    <border>
      <left/>
      <right/>
      <top style="thin">
        <color theme="3" tint="0.39997558519241921"/>
      </top>
      <bottom/>
      <diagonal/>
    </border>
    <border>
      <left style="medium">
        <color indexed="9"/>
      </left>
      <right style="medium">
        <color indexed="9"/>
      </right>
      <top style="medium">
        <color indexed="9"/>
      </top>
      <bottom style="medium">
        <color indexed="9"/>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medium">
        <color indexed="9"/>
      </left>
      <right/>
      <top style="medium">
        <color indexed="9"/>
      </top>
      <bottom style="medium">
        <color indexed="9"/>
      </bottom>
      <diagonal/>
    </border>
    <border>
      <left/>
      <right style="medium">
        <color indexed="9"/>
      </right>
      <top style="medium">
        <color indexed="9"/>
      </top>
      <bottom style="medium">
        <color indexed="9"/>
      </bottom>
      <diagonal/>
    </border>
    <border>
      <left style="medium">
        <color indexed="9"/>
      </left>
      <right style="medium">
        <color indexed="9"/>
      </right>
      <top style="medium">
        <color indexed="9"/>
      </top>
      <bottom/>
      <diagonal/>
    </border>
    <border>
      <left style="thin">
        <color rgb="FF8DB4E3"/>
      </left>
      <right style="thin">
        <color rgb="FF8DB4E3"/>
      </right>
      <top style="thin">
        <color rgb="FF8DB4E3"/>
      </top>
      <bottom style="thin">
        <color rgb="FF8DB4E3"/>
      </bottom>
      <diagonal/>
    </border>
    <border>
      <left/>
      <right/>
      <top style="thin">
        <color rgb="FF538ED5"/>
      </top>
      <bottom/>
      <diagonal/>
    </border>
    <border>
      <left/>
      <right/>
      <top style="thin">
        <color rgb="FF8DB4E3"/>
      </top>
      <bottom style="thin">
        <color rgb="FF8DB4E3"/>
      </bottom>
      <diagonal/>
    </border>
    <border>
      <left/>
      <right style="thin">
        <color theme="3" tint="0.39997558519241921"/>
      </right>
      <top/>
      <bottom/>
      <diagonal/>
    </border>
    <border>
      <left style="thin">
        <color rgb="FF8DB4E3"/>
      </left>
      <right style="thin">
        <color rgb="FF8DB4E3"/>
      </right>
      <top/>
      <bottom style="thin">
        <color rgb="FF8DB4E3"/>
      </bottom>
      <diagonal/>
    </border>
    <border>
      <left style="thin">
        <color rgb="FF8DB4E3"/>
      </left>
      <right style="thin">
        <color rgb="FF8DB4E3"/>
      </right>
      <top style="thin">
        <color rgb="FF8DB4E3"/>
      </top>
      <bottom/>
      <diagonal/>
    </border>
    <border>
      <left style="thin">
        <color theme="3" tint="0.59999389629810485"/>
      </left>
      <right style="thin">
        <color theme="3" tint="0.59999389629810485"/>
      </right>
      <top/>
      <bottom style="thin">
        <color theme="3" tint="0.59999389629810485"/>
      </bottom>
      <diagonal/>
    </border>
    <border>
      <left/>
      <right/>
      <top style="medium">
        <color indexed="9"/>
      </top>
      <bottom style="medium">
        <color indexed="9"/>
      </bottom>
      <diagonal/>
    </border>
    <border>
      <left/>
      <right style="thin">
        <color theme="3" tint="-0.249977111117893"/>
      </right>
      <top style="medium">
        <color indexed="9"/>
      </top>
      <bottom/>
      <diagonal/>
    </border>
    <border>
      <left style="medium">
        <color indexed="9"/>
      </left>
      <right/>
      <top style="medium">
        <color indexed="9"/>
      </top>
      <bottom/>
      <diagonal/>
    </border>
    <border>
      <left style="thin">
        <color theme="3" tint="0.59999389629810485"/>
      </left>
      <right/>
      <top/>
      <bottom/>
      <diagonal/>
    </border>
    <border>
      <left style="thin">
        <color theme="3" tint="0.59999389629810485"/>
      </left>
      <right/>
      <top style="thin">
        <color theme="3" tint="0.59999389629810485"/>
      </top>
      <bottom style="thin">
        <color theme="3" tint="0.59999389629810485"/>
      </bottom>
      <diagonal/>
    </border>
    <border>
      <left style="thin">
        <color theme="3" tint="-0.249977111117893"/>
      </left>
      <right style="thin">
        <color theme="3" tint="-0.249977111117893"/>
      </right>
      <top style="thin">
        <color theme="3" tint="-0.249977111117893"/>
      </top>
      <bottom/>
      <diagonal/>
    </border>
    <border>
      <left style="thin">
        <color theme="3" tint="-0.249977111117893"/>
      </left>
      <right style="thin">
        <color theme="3" tint="-0.249977111117893"/>
      </right>
      <top style="thin">
        <color theme="3" tint="-0.249977111117893"/>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left>
      <right/>
      <top style="thin">
        <color theme="4"/>
      </top>
      <bottom/>
      <diagonal/>
    </border>
    <border>
      <left style="thin">
        <color indexed="64"/>
      </left>
      <right style="thin">
        <color theme="3" tint="0.39997558519241921"/>
      </right>
      <top style="thin">
        <color theme="3" tint="0.39997558519241921"/>
      </top>
      <bottom style="thin">
        <color theme="3" tint="0.39997558519241921"/>
      </bottom>
      <diagonal/>
    </border>
    <border>
      <left/>
      <right/>
      <top style="thin">
        <color rgb="FF8DB4E3"/>
      </top>
      <bottom/>
      <diagonal/>
    </border>
    <border>
      <left/>
      <right/>
      <top/>
      <bottom style="thin">
        <color rgb="FF538ED5"/>
      </bottom>
      <diagonal/>
    </border>
    <border>
      <left style="thin">
        <color theme="3" tint="0.59999389629810485"/>
      </left>
      <right/>
      <top/>
      <bottom style="thin">
        <color theme="3" tint="0.59999389629810485"/>
      </bottom>
      <diagonal/>
    </border>
    <border>
      <left/>
      <right/>
      <top/>
      <bottom style="thin">
        <color theme="3" tint="0.59999389629810485"/>
      </bottom>
      <diagonal/>
    </border>
    <border>
      <left/>
      <right style="thin">
        <color theme="3" tint="0.59999389629810485"/>
      </right>
      <top/>
      <bottom style="thin">
        <color theme="3" tint="0.59999389629810485"/>
      </bottom>
      <diagonal/>
    </border>
    <border>
      <left/>
      <right style="thin">
        <color indexed="64"/>
      </right>
      <top/>
      <bottom/>
      <diagonal/>
    </border>
    <border>
      <left/>
      <right style="thin">
        <color theme="3" tint="0.39997558519241921"/>
      </right>
      <top style="thin">
        <color theme="3" tint="0.39997558519241921"/>
      </top>
      <bottom style="thin">
        <color theme="3" tint="0.39997558519241921"/>
      </bottom>
      <diagonal/>
    </border>
    <border>
      <left style="thin">
        <color theme="4"/>
      </left>
      <right/>
      <top style="thin">
        <color theme="4"/>
      </top>
      <bottom style="thin">
        <color theme="4"/>
      </bottom>
      <diagonal/>
    </border>
    <border>
      <left/>
      <right style="thin">
        <color theme="3" tint="0.59999389629810485"/>
      </right>
      <top style="thin">
        <color theme="3" tint="0.59999389629810485"/>
      </top>
      <bottom style="thin">
        <color theme="3" tint="0.59999389629810485"/>
      </bottom>
      <diagonal/>
    </border>
    <border>
      <left style="thin">
        <color theme="0"/>
      </left>
      <right style="thin">
        <color theme="0"/>
      </right>
      <top style="thin">
        <color theme="0"/>
      </top>
      <bottom style="thin">
        <color theme="4"/>
      </bottom>
      <diagonal/>
    </border>
    <border>
      <left/>
      <right/>
      <top style="thin">
        <color theme="4"/>
      </top>
      <bottom style="thin">
        <color theme="4"/>
      </bottom>
      <diagonal/>
    </border>
    <border>
      <left/>
      <right/>
      <top style="thin">
        <color theme="4"/>
      </top>
      <bottom/>
      <diagonal/>
    </border>
  </borders>
  <cellStyleXfs count="53">
    <xf numFmtId="0" fontId="0" fillId="0" borderId="0"/>
    <xf numFmtId="0" fontId="3" fillId="0" borderId="0"/>
    <xf numFmtId="0" fontId="7" fillId="0" borderId="0" applyNumberFormat="0" applyFill="0" applyBorder="0" applyAlignment="0" applyProtection="0"/>
    <xf numFmtId="0" fontId="8" fillId="0" borderId="24" applyNumberFormat="0" applyFill="0" applyAlignment="0" applyProtection="0"/>
    <xf numFmtId="0" fontId="9" fillId="0" borderId="25" applyNumberFormat="0" applyFill="0" applyAlignment="0" applyProtection="0"/>
    <xf numFmtId="0" fontId="10" fillId="0" borderId="26" applyNumberFormat="0" applyFill="0" applyAlignment="0" applyProtection="0"/>
    <xf numFmtId="0" fontId="10" fillId="0" borderId="0" applyNumberFormat="0" applyFill="0" applyBorder="0" applyAlignment="0" applyProtection="0"/>
    <xf numFmtId="0" fontId="11" fillId="7" borderId="0" applyNumberFormat="0" applyBorder="0" applyAlignment="0" applyProtection="0"/>
    <xf numFmtId="0" fontId="12" fillId="8" borderId="0" applyNumberFormat="0" applyBorder="0" applyAlignment="0" applyProtection="0"/>
    <xf numFmtId="0" fontId="13" fillId="10" borderId="27" applyNumberFormat="0" applyAlignment="0" applyProtection="0"/>
    <xf numFmtId="0" fontId="14" fillId="11" borderId="28" applyNumberFormat="0" applyAlignment="0" applyProtection="0"/>
    <xf numFmtId="0" fontId="15" fillId="11" borderId="27" applyNumberFormat="0" applyAlignment="0" applyProtection="0"/>
    <xf numFmtId="0" fontId="16" fillId="0" borderId="29" applyNumberFormat="0" applyFill="0" applyAlignment="0" applyProtection="0"/>
    <xf numFmtId="0" fontId="17" fillId="12" borderId="30" applyNumberFormat="0" applyAlignment="0" applyProtection="0"/>
    <xf numFmtId="0" fontId="18" fillId="0" borderId="0" applyNumberFormat="0" applyFill="0" applyBorder="0" applyAlignment="0" applyProtection="0"/>
    <xf numFmtId="0" fontId="6" fillId="13" borderId="31" applyNumberFormat="0" applyFont="0" applyAlignment="0" applyProtection="0"/>
    <xf numFmtId="0" fontId="19" fillId="0" borderId="0" applyNumberFormat="0" applyFill="0" applyBorder="0" applyAlignment="0" applyProtection="0"/>
    <xf numFmtId="0" fontId="2" fillId="0" borderId="32" applyNumberFormat="0" applyFill="0" applyAlignment="0" applyProtection="0"/>
    <xf numFmtId="0" fontId="5"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5"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5"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5"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5"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5"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3" fillId="0" borderId="0"/>
    <xf numFmtId="0" fontId="20" fillId="9" borderId="0" applyNumberFormat="0" applyBorder="0" applyAlignment="0" applyProtection="0"/>
    <xf numFmtId="0" fontId="5" fillId="17" borderId="0" applyNumberFormat="0" applyBorder="0" applyAlignment="0" applyProtection="0"/>
    <xf numFmtId="0" fontId="5" fillId="21" borderId="0" applyNumberFormat="0" applyBorder="0" applyAlignment="0" applyProtection="0"/>
    <xf numFmtId="0" fontId="5" fillId="25" borderId="0" applyNumberFormat="0" applyBorder="0" applyAlignment="0" applyProtection="0"/>
    <xf numFmtId="0" fontId="5" fillId="29" borderId="0" applyNumberFormat="0" applyBorder="0" applyAlignment="0" applyProtection="0"/>
    <xf numFmtId="0" fontId="5" fillId="33" borderId="0" applyNumberFormat="0" applyBorder="0" applyAlignment="0" applyProtection="0"/>
    <xf numFmtId="0" fontId="5" fillId="37" borderId="0" applyNumberFormat="0" applyBorder="0" applyAlignment="0" applyProtection="0"/>
    <xf numFmtId="0" fontId="32" fillId="0" borderId="0" applyBorder="0"/>
    <xf numFmtId="0" fontId="32" fillId="0" borderId="0" applyBorder="0"/>
    <xf numFmtId="0" fontId="34" fillId="9" borderId="0" applyNumberFormat="0" applyBorder="0" applyAlignment="0" applyProtection="0"/>
    <xf numFmtId="0" fontId="6" fillId="17" borderId="0" applyNumberFormat="0" applyBorder="0" applyAlignment="0" applyProtection="0"/>
    <xf numFmtId="0" fontId="6" fillId="21" borderId="0" applyNumberFormat="0" applyBorder="0" applyAlignment="0" applyProtection="0"/>
    <xf numFmtId="0" fontId="6" fillId="25" borderId="0" applyNumberFormat="0" applyBorder="0" applyAlignment="0" applyProtection="0"/>
    <xf numFmtId="0" fontId="6" fillId="29" borderId="0" applyNumberFormat="0" applyBorder="0" applyAlignment="0" applyProtection="0"/>
    <xf numFmtId="0" fontId="6" fillId="33" borderId="0" applyNumberFormat="0" applyBorder="0" applyAlignment="0" applyProtection="0"/>
    <xf numFmtId="0" fontId="6" fillId="37" borderId="0" applyNumberFormat="0" applyBorder="0" applyAlignment="0" applyProtection="0"/>
  </cellStyleXfs>
  <cellXfs count="199">
    <xf numFmtId="0" fontId="0" fillId="0" borderId="0" xfId="0"/>
    <xf numFmtId="0" fontId="1" fillId="0" borderId="2" xfId="0" applyFont="1" applyBorder="1" applyAlignment="1">
      <alignment horizontal="left" vertical="top" wrapText="1"/>
    </xf>
    <xf numFmtId="0" fontId="1" fillId="3" borderId="2" xfId="0" applyFont="1" applyFill="1" applyBorder="1" applyAlignment="1">
      <alignment horizontal="left" vertical="top" wrapText="1"/>
    </xf>
    <xf numFmtId="0" fontId="4" fillId="38" borderId="10" xfId="0" applyFont="1" applyFill="1" applyBorder="1" applyAlignment="1" applyProtection="1">
      <alignment horizontal="left" vertical="top" wrapText="1"/>
      <protection locked="0"/>
    </xf>
    <xf numFmtId="0" fontId="4" fillId="38" borderId="10" xfId="0" applyFont="1" applyFill="1" applyBorder="1" applyAlignment="1">
      <alignment horizontal="left" vertical="top" wrapText="1"/>
    </xf>
    <xf numFmtId="0" fontId="21" fillId="0" borderId="1" xfId="0" applyFont="1" applyBorder="1" applyAlignment="1" applyProtection="1">
      <alignment horizontal="center" vertical="top"/>
      <protection locked="0"/>
    </xf>
    <xf numFmtId="0" fontId="21" fillId="3" borderId="1" xfId="0" applyFont="1" applyFill="1" applyBorder="1" applyAlignment="1" applyProtection="1">
      <alignment horizontal="center" vertical="top"/>
      <protection locked="0"/>
    </xf>
    <xf numFmtId="0" fontId="22" fillId="0" borderId="0" xfId="0" applyFont="1" applyProtection="1">
      <protection locked="0"/>
    </xf>
    <xf numFmtId="0" fontId="21" fillId="0" borderId="0" xfId="0" applyFont="1" applyAlignment="1" applyProtection="1">
      <alignment horizontal="center" vertical="center" wrapText="1"/>
      <protection locked="0"/>
    </xf>
    <xf numFmtId="0" fontId="21" fillId="0" borderId="0" xfId="0" applyFont="1" applyProtection="1">
      <protection locked="0"/>
    </xf>
    <xf numFmtId="0" fontId="21" fillId="0" borderId="3" xfId="0" applyFont="1" applyBorder="1" applyAlignment="1" applyProtection="1">
      <alignment horizontal="left" vertical="top"/>
      <protection locked="0"/>
    </xf>
    <xf numFmtId="0" fontId="23" fillId="0" borderId="3" xfId="0" applyFont="1" applyBorder="1" applyAlignment="1">
      <alignment horizontal="left" vertical="center" wrapText="1"/>
    </xf>
    <xf numFmtId="0" fontId="23" fillId="0" borderId="0" xfId="0" applyFont="1" applyAlignment="1" applyProtection="1">
      <alignment horizontal="left" vertical="center"/>
      <protection locked="0"/>
    </xf>
    <xf numFmtId="0" fontId="4" fillId="38" borderId="15" xfId="0" applyFont="1" applyFill="1" applyBorder="1" applyAlignment="1" applyProtection="1">
      <alignment horizontal="center" wrapText="1"/>
      <protection locked="0"/>
    </xf>
    <xf numFmtId="0" fontId="4" fillId="38" borderId="15" xfId="0" applyFont="1" applyFill="1" applyBorder="1" applyAlignment="1">
      <alignment horizontal="center" wrapText="1"/>
    </xf>
    <xf numFmtId="0" fontId="23" fillId="0" borderId="3" xfId="0" applyFont="1" applyBorder="1" applyAlignment="1">
      <alignment horizontal="left" vertical="center"/>
    </xf>
    <xf numFmtId="0" fontId="24" fillId="0" borderId="11" xfId="0" applyFont="1" applyBorder="1" applyAlignment="1" applyProtection="1">
      <alignment vertical="center" wrapText="1"/>
      <protection locked="0"/>
    </xf>
    <xf numFmtId="0" fontId="24" fillId="0" borderId="0" xfId="0" applyFont="1" applyAlignment="1" applyProtection="1">
      <alignment horizontal="center" vertical="center" wrapText="1"/>
      <protection locked="0"/>
    </xf>
    <xf numFmtId="0" fontId="4" fillId="41" borderId="0" xfId="0" applyFont="1" applyFill="1" applyAlignment="1" applyProtection="1">
      <alignment horizontal="center" vertical="center"/>
      <protection locked="0"/>
    </xf>
    <xf numFmtId="0" fontId="4" fillId="0" borderId="10" xfId="0" applyFont="1" applyBorder="1" applyAlignment="1" applyProtection="1">
      <alignment horizontal="left" vertical="top" wrapText="1"/>
      <protection locked="0"/>
    </xf>
    <xf numFmtId="0" fontId="4" fillId="4" borderId="10" xfId="0" applyFont="1" applyFill="1" applyBorder="1" applyAlignment="1" applyProtection="1">
      <alignment horizontal="left" vertical="top" wrapText="1"/>
      <protection locked="0"/>
    </xf>
    <xf numFmtId="0" fontId="21" fillId="0" borderId="10" xfId="0" applyFont="1" applyBorder="1" applyAlignment="1" applyProtection="1">
      <alignment horizontal="left" vertical="top" wrapText="1"/>
      <protection locked="0"/>
    </xf>
    <xf numFmtId="0" fontId="4" fillId="0" borderId="10" xfId="0" applyFont="1" applyBorder="1" applyAlignment="1">
      <alignment vertical="center" wrapText="1"/>
    </xf>
    <xf numFmtId="0" fontId="4" fillId="41" borderId="0" xfId="0" applyFont="1" applyFill="1" applyAlignment="1">
      <alignment horizontal="center" vertical="center"/>
    </xf>
    <xf numFmtId="0" fontId="21" fillId="0" borderId="10" xfId="0" applyFont="1" applyBorder="1" applyAlignment="1" applyProtection="1">
      <alignment horizontal="left" vertical="top"/>
      <protection locked="0"/>
    </xf>
    <xf numFmtId="0" fontId="21" fillId="3" borderId="10" xfId="0" applyFont="1" applyFill="1" applyBorder="1" applyAlignment="1" applyProtection="1">
      <alignment horizontal="left" vertical="top" wrapText="1"/>
      <protection locked="0"/>
    </xf>
    <xf numFmtId="0" fontId="21" fillId="39" borderId="10" xfId="0" applyFont="1" applyFill="1" applyBorder="1" applyAlignment="1" applyProtection="1">
      <alignment horizontal="center" vertical="center" wrapText="1"/>
      <protection locked="0"/>
    </xf>
    <xf numFmtId="0" fontId="4" fillId="0" borderId="10" xfId="0" applyFont="1" applyBorder="1" applyAlignment="1" applyProtection="1">
      <alignment horizontal="left" vertical="top"/>
      <protection locked="0"/>
    </xf>
    <xf numFmtId="0" fontId="21" fillId="4" borderId="0" xfId="0" applyFont="1" applyFill="1" applyProtection="1">
      <protection locked="0"/>
    </xf>
    <xf numFmtId="0" fontId="21" fillId="0" borderId="10" xfId="0" applyFont="1" applyBorder="1" applyAlignment="1">
      <alignment horizontal="center" vertical="center" wrapText="1"/>
    </xf>
    <xf numFmtId="0" fontId="21" fillId="0" borderId="0" xfId="0" applyFont="1" applyAlignment="1" applyProtection="1">
      <alignment vertical="center"/>
      <protection locked="0"/>
    </xf>
    <xf numFmtId="0" fontId="21" fillId="0" borderId="14" xfId="0" applyFont="1" applyBorder="1" applyAlignment="1" applyProtection="1">
      <alignment horizontal="left" vertical="top"/>
      <protection locked="0"/>
    </xf>
    <xf numFmtId="0" fontId="4" fillId="0" borderId="14" xfId="0" applyFont="1" applyBorder="1" applyAlignment="1" applyProtection="1">
      <alignment horizontal="left" vertical="top" wrapText="1"/>
      <protection locked="0"/>
    </xf>
    <xf numFmtId="0" fontId="21" fillId="0" borderId="0" xfId="0" applyFont="1" applyAlignment="1" applyProtection="1">
      <alignment vertical="top"/>
      <protection locked="0"/>
    </xf>
    <xf numFmtId="0" fontId="21" fillId="3" borderId="0" xfId="0" applyFont="1" applyFill="1" applyAlignment="1" applyProtection="1">
      <alignment vertical="top" wrapText="1"/>
      <protection locked="0"/>
    </xf>
    <xf numFmtId="0" fontId="21" fillId="0" borderId="0" xfId="0" applyFont="1" applyAlignment="1" applyProtection="1">
      <alignment vertical="top" wrapText="1"/>
      <protection locked="0"/>
    </xf>
    <xf numFmtId="0" fontId="21" fillId="0" borderId="0" xfId="0" applyFont="1" applyAlignment="1" applyProtection="1">
      <alignment horizontal="left" vertical="top"/>
      <protection locked="0"/>
    </xf>
    <xf numFmtId="0" fontId="21" fillId="0" borderId="1" xfId="0" applyFont="1" applyBorder="1" applyAlignment="1" applyProtection="1">
      <alignment horizontal="left" vertical="top"/>
      <protection locked="0"/>
    </xf>
    <xf numFmtId="0" fontId="21" fillId="3" borderId="1" xfId="0" applyFont="1" applyFill="1" applyBorder="1" applyAlignment="1" applyProtection="1">
      <alignment horizontal="left" vertical="top"/>
      <protection locked="0"/>
    </xf>
    <xf numFmtId="0" fontId="22" fillId="0" borderId="0" xfId="0" applyFont="1" applyAlignment="1" applyProtection="1">
      <alignment horizontal="left" vertical="top"/>
      <protection locked="0"/>
    </xf>
    <xf numFmtId="0" fontId="21" fillId="0" borderId="0" xfId="0" applyFont="1" applyAlignment="1" applyProtection="1">
      <alignment horizontal="center" vertical="top"/>
      <protection locked="0"/>
    </xf>
    <xf numFmtId="0" fontId="4" fillId="38" borderId="15" xfId="0" applyFont="1" applyFill="1" applyBorder="1" applyAlignment="1" applyProtection="1">
      <alignment horizontal="center" vertical="top" wrapText="1"/>
      <protection locked="0"/>
    </xf>
    <xf numFmtId="0" fontId="23" fillId="0" borderId="3" xfId="0" applyFont="1" applyBorder="1" applyAlignment="1" applyProtection="1">
      <alignment horizontal="left" vertical="top"/>
      <protection locked="0"/>
    </xf>
    <xf numFmtId="0" fontId="24" fillId="0" borderId="4" xfId="0" applyFont="1" applyBorder="1" applyAlignment="1" applyProtection="1">
      <alignment horizontal="left" vertical="top" wrapText="1"/>
      <protection locked="0"/>
    </xf>
    <xf numFmtId="0" fontId="4" fillId="41" borderId="0" xfId="0" applyFont="1" applyFill="1" applyAlignment="1" applyProtection="1">
      <alignment horizontal="center" vertical="top"/>
      <protection locked="0"/>
    </xf>
    <xf numFmtId="0" fontId="4" fillId="39" borderId="2" xfId="0" applyFont="1" applyFill="1" applyBorder="1" applyAlignment="1" applyProtection="1">
      <alignment horizontal="left" vertical="top" wrapText="1"/>
      <protection locked="0"/>
    </xf>
    <xf numFmtId="0" fontId="4" fillId="4" borderId="10" xfId="0" applyFont="1" applyFill="1" applyBorder="1" applyAlignment="1" applyProtection="1">
      <alignment horizontal="left" vertical="top"/>
      <protection locked="0"/>
    </xf>
    <xf numFmtId="0" fontId="21" fillId="4" borderId="10" xfId="0" applyFont="1" applyFill="1" applyBorder="1" applyAlignment="1" applyProtection="1">
      <alignment horizontal="left" vertical="top" wrapText="1"/>
      <protection locked="0"/>
    </xf>
    <xf numFmtId="0" fontId="1" fillId="0" borderId="0" xfId="0" applyFont="1" applyAlignment="1" applyProtection="1">
      <alignment horizontal="left" vertical="top"/>
      <protection locked="0"/>
    </xf>
    <xf numFmtId="0" fontId="4" fillId="0" borderId="10" xfId="0" applyFont="1" applyBorder="1" applyAlignment="1">
      <alignment horizontal="center" vertical="top" wrapText="1"/>
    </xf>
    <xf numFmtId="0" fontId="1" fillId="3" borderId="0" xfId="0" applyFont="1" applyFill="1" applyAlignment="1" applyProtection="1">
      <alignment horizontal="left" vertical="top"/>
      <protection locked="0"/>
    </xf>
    <xf numFmtId="0" fontId="4" fillId="41" borderId="12" xfId="0" applyFont="1" applyFill="1" applyBorder="1" applyAlignment="1">
      <alignment horizontal="center" vertical="top"/>
    </xf>
    <xf numFmtId="0" fontId="4" fillId="4" borderId="10" xfId="0" applyFont="1" applyFill="1" applyBorder="1" applyAlignment="1">
      <alignment horizontal="center" vertical="top"/>
    </xf>
    <xf numFmtId="0" fontId="4" fillId="41" borderId="0" xfId="0" applyFont="1" applyFill="1" applyAlignment="1">
      <alignment horizontal="center" vertical="top"/>
    </xf>
    <xf numFmtId="0" fontId="1" fillId="3" borderId="0" xfId="0" applyFont="1" applyFill="1" applyAlignment="1" applyProtection="1">
      <alignment horizontal="left" vertical="top" wrapText="1"/>
      <protection locked="0"/>
    </xf>
    <xf numFmtId="0" fontId="21" fillId="0" borderId="2" xfId="0" applyFont="1" applyBorder="1" applyAlignment="1" applyProtection="1">
      <alignment horizontal="left" vertical="top" wrapText="1"/>
      <protection locked="0"/>
    </xf>
    <xf numFmtId="0" fontId="21" fillId="0" borderId="33" xfId="0" applyFont="1" applyBorder="1"/>
    <xf numFmtId="0" fontId="1" fillId="3" borderId="0" xfId="0" applyFont="1" applyFill="1" applyAlignment="1" applyProtection="1">
      <alignment horizontal="center" vertical="top"/>
      <protection locked="0"/>
    </xf>
    <xf numFmtId="0" fontId="21" fillId="0" borderId="0" xfId="0" applyFont="1"/>
    <xf numFmtId="0" fontId="21" fillId="0" borderId="0" xfId="0" applyFont="1" applyAlignment="1">
      <alignment horizontal="left"/>
    </xf>
    <xf numFmtId="0" fontId="21" fillId="0" borderId="1" xfId="0" applyFont="1" applyBorder="1" applyAlignment="1">
      <alignment horizontal="center" vertical="center"/>
    </xf>
    <xf numFmtId="0" fontId="21" fillId="0" borderId="1" xfId="0" applyFont="1" applyBorder="1" applyAlignment="1">
      <alignment vertical="top"/>
    </xf>
    <xf numFmtId="0" fontId="1" fillId="0" borderId="0" xfId="0" applyFont="1"/>
    <xf numFmtId="0" fontId="28" fillId="0" borderId="6" xfId="1" applyFont="1" applyBorder="1" applyAlignment="1">
      <alignment horizontal="left" vertical="center" wrapText="1"/>
    </xf>
    <xf numFmtId="0" fontId="28" fillId="0" borderId="22" xfId="1" applyFont="1" applyBorder="1" applyAlignment="1">
      <alignment horizontal="left" vertical="center" wrapText="1"/>
    </xf>
    <xf numFmtId="0" fontId="28" fillId="0" borderId="23" xfId="1" applyFont="1" applyBorder="1" applyAlignment="1">
      <alignment horizontal="left" vertical="center" wrapText="1"/>
    </xf>
    <xf numFmtId="0" fontId="1" fillId="0" borderId="0" xfId="0" applyFont="1" applyAlignment="1">
      <alignment horizontal="left"/>
    </xf>
    <xf numFmtId="0" fontId="1" fillId="0" borderId="0" xfId="0" applyFont="1" applyAlignment="1">
      <alignment vertical="center" wrapText="1"/>
    </xf>
    <xf numFmtId="0" fontId="1" fillId="0" borderId="0" xfId="0" applyFont="1" applyAlignment="1">
      <alignment horizontal="center" vertical="center"/>
    </xf>
    <xf numFmtId="0" fontId="21" fillId="0" borderId="1" xfId="0" applyFont="1" applyBorder="1" applyAlignment="1">
      <alignment horizontal="center" vertical="top"/>
    </xf>
    <xf numFmtId="0" fontId="21" fillId="3" borderId="1" xfId="0" applyFont="1" applyFill="1" applyBorder="1" applyAlignment="1">
      <alignment horizontal="center" vertical="top" wrapText="1"/>
    </xf>
    <xf numFmtId="0" fontId="22" fillId="0" borderId="0" xfId="0" applyFont="1" applyAlignment="1">
      <alignment wrapText="1"/>
    </xf>
    <xf numFmtId="0" fontId="24" fillId="0" borderId="4" xfId="0" applyFont="1" applyBorder="1" applyAlignment="1">
      <alignment vertical="center" wrapText="1"/>
    </xf>
    <xf numFmtId="0" fontId="24" fillId="0" borderId="0" xfId="0" applyFont="1" applyAlignment="1">
      <alignment horizontal="center" vertical="center" wrapText="1"/>
    </xf>
    <xf numFmtId="0" fontId="1" fillId="3" borderId="20" xfId="0" applyFont="1" applyFill="1" applyBorder="1" applyAlignment="1">
      <alignment vertical="center" wrapText="1"/>
    </xf>
    <xf numFmtId="0" fontId="4" fillId="39" borderId="2" xfId="0" applyFont="1" applyFill="1" applyBorder="1" applyAlignment="1">
      <alignment horizontal="left" vertical="top" wrapText="1"/>
    </xf>
    <xf numFmtId="0" fontId="4" fillId="38" borderId="15" xfId="0" applyFont="1" applyFill="1" applyBorder="1" applyAlignment="1" applyProtection="1">
      <alignment horizontal="center" vertical="center" wrapText="1"/>
      <protection locked="0"/>
    </xf>
    <xf numFmtId="0" fontId="31" fillId="3" borderId="2" xfId="0" applyFont="1" applyFill="1" applyBorder="1" applyAlignment="1">
      <alignment horizontal="left" vertical="top" wrapText="1"/>
    </xf>
    <xf numFmtId="0" fontId="1" fillId="0" borderId="10" xfId="0" applyFont="1" applyBorder="1" applyAlignment="1">
      <alignment horizontal="center" vertical="center" wrapText="1"/>
    </xf>
    <xf numFmtId="0" fontId="1" fillId="3" borderId="0" xfId="0" applyFont="1" applyFill="1"/>
    <xf numFmtId="0" fontId="31" fillId="41" borderId="0" xfId="0" applyFont="1" applyFill="1" applyAlignment="1">
      <alignment horizontal="center" vertical="center"/>
    </xf>
    <xf numFmtId="0" fontId="31" fillId="39" borderId="2" xfId="0" applyFont="1" applyFill="1" applyBorder="1" applyAlignment="1">
      <alignment horizontal="left" vertical="top" wrapText="1"/>
    </xf>
    <xf numFmtId="0" fontId="1" fillId="39" borderId="10" xfId="0" applyFont="1" applyFill="1" applyBorder="1" applyAlignment="1" applyProtection="1">
      <alignment horizontal="center" vertical="center" wrapText="1"/>
      <protection locked="0"/>
    </xf>
    <xf numFmtId="0" fontId="21" fillId="39" borderId="10" xfId="0" applyFont="1" applyFill="1" applyBorder="1" applyAlignment="1" applyProtection="1">
      <alignment horizontal="center" vertical="top" wrapText="1"/>
      <protection locked="0"/>
    </xf>
    <xf numFmtId="0" fontId="4" fillId="4" borderId="10" xfId="0" applyFont="1" applyFill="1" applyBorder="1" applyAlignment="1">
      <alignment horizontal="left" vertical="top" wrapText="1"/>
    </xf>
    <xf numFmtId="0" fontId="21" fillId="4" borderId="10" xfId="0" applyFont="1" applyFill="1" applyBorder="1" applyAlignment="1">
      <alignment horizontal="left" vertical="top" wrapText="1"/>
    </xf>
    <xf numFmtId="0" fontId="31" fillId="3" borderId="10" xfId="0" applyFont="1" applyFill="1" applyBorder="1" applyAlignment="1">
      <alignment horizontal="left" vertical="top" wrapText="1"/>
    </xf>
    <xf numFmtId="0" fontId="1" fillId="3" borderId="10" xfId="0" applyFont="1" applyFill="1" applyBorder="1" applyAlignment="1">
      <alignment horizontal="left" vertical="top" wrapText="1"/>
    </xf>
    <xf numFmtId="0" fontId="1" fillId="3" borderId="2" xfId="0" applyFont="1" applyFill="1" applyBorder="1" applyAlignment="1">
      <alignment vertical="center" wrapText="1"/>
    </xf>
    <xf numFmtId="0" fontId="31" fillId="4" borderId="10" xfId="0" applyFont="1" applyFill="1" applyBorder="1" applyAlignment="1">
      <alignment vertical="top"/>
    </xf>
    <xf numFmtId="0" fontId="1" fillId="0" borderId="0" xfId="0" applyFont="1" applyProtection="1">
      <protection locked="0"/>
    </xf>
    <xf numFmtId="0" fontId="31" fillId="4" borderId="10" xfId="0" applyFont="1" applyFill="1" applyBorder="1" applyAlignment="1" applyProtection="1">
      <alignment horizontal="left" vertical="top"/>
      <protection locked="0"/>
    </xf>
    <xf numFmtId="0" fontId="1" fillId="0" borderId="10" xfId="0" applyFont="1" applyBorder="1" applyAlignment="1" applyProtection="1">
      <alignment horizontal="left" vertical="top" wrapText="1"/>
      <protection locked="0"/>
    </xf>
    <xf numFmtId="0" fontId="1" fillId="4" borderId="10" xfId="0" applyFont="1" applyFill="1" applyBorder="1" applyAlignment="1" applyProtection="1">
      <alignment horizontal="left" vertical="top" wrapText="1"/>
      <protection locked="0"/>
    </xf>
    <xf numFmtId="0" fontId="31" fillId="0" borderId="2" xfId="0" applyFont="1" applyBorder="1" applyAlignment="1">
      <alignment horizontal="left" vertical="top" wrapText="1"/>
    </xf>
    <xf numFmtId="0" fontId="31" fillId="0" borderId="10" xfId="0" applyFont="1" applyBorder="1" applyAlignment="1">
      <alignment vertical="top"/>
    </xf>
    <xf numFmtId="0" fontId="1" fillId="3" borderId="0" xfId="0" applyFont="1" applyFill="1" applyAlignment="1">
      <alignment wrapText="1"/>
    </xf>
    <xf numFmtId="0" fontId="1" fillId="3" borderId="0" xfId="0" applyFont="1" applyFill="1" applyAlignment="1">
      <alignment vertical="top" wrapText="1"/>
    </xf>
    <xf numFmtId="0" fontId="1" fillId="3" borderId="0" xfId="0" applyFont="1" applyFill="1" applyProtection="1">
      <protection locked="0"/>
    </xf>
    <xf numFmtId="0" fontId="21" fillId="3" borderId="1" xfId="0" applyFont="1" applyFill="1" applyBorder="1" applyAlignment="1">
      <alignment horizontal="center" vertical="top"/>
    </xf>
    <xf numFmtId="0" fontId="22" fillId="0" borderId="0" xfId="0" applyFont="1"/>
    <xf numFmtId="0" fontId="21" fillId="0" borderId="3" xfId="0" applyFont="1" applyBorder="1" applyAlignment="1">
      <alignment horizontal="left" vertical="center"/>
    </xf>
    <xf numFmtId="0" fontId="4" fillId="41" borderId="12" xfId="0" applyFont="1" applyFill="1" applyBorder="1" applyAlignment="1">
      <alignment horizontal="center" vertical="center"/>
    </xf>
    <xf numFmtId="0" fontId="4" fillId="4" borderId="10" xfId="0" applyFont="1" applyFill="1" applyBorder="1" applyAlignment="1">
      <alignment vertical="center"/>
    </xf>
    <xf numFmtId="0" fontId="21" fillId="3" borderId="10" xfId="0" applyFont="1" applyFill="1" applyBorder="1" applyAlignment="1">
      <alignment horizontal="left" vertical="top" wrapText="1"/>
    </xf>
    <xf numFmtId="0" fontId="4" fillId="6" borderId="10" xfId="0" applyFont="1" applyFill="1" applyBorder="1" applyAlignment="1">
      <alignment horizontal="left" vertical="top" wrapText="1"/>
    </xf>
    <xf numFmtId="0" fontId="21" fillId="6" borderId="10" xfId="0" applyFont="1" applyFill="1" applyBorder="1" applyAlignment="1">
      <alignment horizontal="left" vertical="top" wrapText="1"/>
    </xf>
    <xf numFmtId="0" fontId="21" fillId="3" borderId="10" xfId="0" applyFont="1" applyFill="1" applyBorder="1" applyAlignment="1" applyProtection="1">
      <alignment horizontal="center" vertical="center" wrapText="1"/>
      <protection locked="0"/>
    </xf>
    <xf numFmtId="0" fontId="21" fillId="3" borderId="2" xfId="0" applyFont="1" applyFill="1" applyBorder="1" applyAlignment="1">
      <alignment horizontal="left" vertical="top" wrapText="1"/>
    </xf>
    <xf numFmtId="0" fontId="4" fillId="4" borderId="10" xfId="0" applyFont="1" applyFill="1" applyBorder="1" applyAlignment="1" applyProtection="1">
      <alignment vertical="center"/>
      <protection locked="0"/>
    </xf>
    <xf numFmtId="0" fontId="4" fillId="4" borderId="10" xfId="0" applyFont="1" applyFill="1" applyBorder="1" applyAlignment="1">
      <alignment vertical="top"/>
    </xf>
    <xf numFmtId="0" fontId="1" fillId="0" borderId="0" xfId="0" applyFont="1" applyAlignment="1">
      <alignment wrapText="1"/>
    </xf>
    <xf numFmtId="0" fontId="21" fillId="0" borderId="10" xfId="0" applyFont="1" applyBorder="1" applyAlignment="1">
      <alignment horizontal="left" vertical="top" wrapText="1"/>
    </xf>
    <xf numFmtId="0" fontId="26" fillId="41" borderId="2" xfId="0" applyFont="1" applyFill="1" applyBorder="1" applyAlignment="1">
      <alignment vertical="top" wrapText="1"/>
    </xf>
    <xf numFmtId="0" fontId="21" fillId="39" borderId="15" xfId="0" applyFont="1" applyFill="1" applyBorder="1" applyAlignment="1" applyProtection="1">
      <alignment horizontal="center" vertical="center" wrapText="1"/>
      <protection locked="0"/>
    </xf>
    <xf numFmtId="0" fontId="21" fillId="0" borderId="0" xfId="0" applyFont="1" applyAlignment="1" applyProtection="1">
      <alignment horizontal="center" vertical="center"/>
      <protection locked="0"/>
    </xf>
    <xf numFmtId="0" fontId="1" fillId="0" borderId="0" xfId="0" applyFont="1" applyAlignment="1" applyProtection="1">
      <alignment vertical="center" wrapText="1"/>
      <protection locked="0"/>
    </xf>
    <xf numFmtId="0" fontId="26" fillId="41" borderId="2" xfId="0" applyFont="1" applyFill="1" applyBorder="1" applyAlignment="1">
      <alignment wrapText="1"/>
    </xf>
    <xf numFmtId="0" fontId="1" fillId="3" borderId="2" xfId="0" applyFont="1" applyFill="1" applyBorder="1" applyAlignment="1">
      <alignment vertical="top" wrapText="1"/>
    </xf>
    <xf numFmtId="0" fontId="21" fillId="0" borderId="15" xfId="0" applyFont="1" applyBorder="1" applyAlignment="1">
      <alignment horizontal="center" vertical="center" wrapText="1"/>
    </xf>
    <xf numFmtId="0" fontId="1" fillId="3" borderId="0" xfId="0" applyFont="1" applyFill="1" applyAlignment="1">
      <alignment vertical="top"/>
    </xf>
    <xf numFmtId="0" fontId="23" fillId="0" borderId="0" xfId="0" applyFont="1" applyAlignment="1">
      <alignment horizontal="left" vertical="center"/>
    </xf>
    <xf numFmtId="0" fontId="26" fillId="41" borderId="16" xfId="0" applyFont="1" applyFill="1" applyBorder="1" applyAlignment="1">
      <alignment wrapText="1"/>
    </xf>
    <xf numFmtId="0" fontId="4" fillId="3" borderId="2" xfId="0" applyFont="1" applyFill="1" applyBorder="1" applyAlignment="1">
      <alignment horizontal="left" vertical="top" wrapText="1"/>
    </xf>
    <xf numFmtId="0" fontId="21" fillId="0" borderId="2" xfId="0" applyFont="1" applyBorder="1" applyAlignment="1">
      <alignment horizontal="left" vertical="top" wrapText="1"/>
    </xf>
    <xf numFmtId="0" fontId="4" fillId="0" borderId="2" xfId="0" applyFont="1" applyBorder="1" applyAlignment="1">
      <alignment horizontal="left" vertical="top" wrapText="1"/>
    </xf>
    <xf numFmtId="0" fontId="4" fillId="4" borderId="2" xfId="0" applyFont="1" applyFill="1" applyBorder="1" applyAlignment="1">
      <alignment horizontal="left" vertical="top" wrapText="1"/>
    </xf>
    <xf numFmtId="0" fontId="4" fillId="3" borderId="10" xfId="0" applyFont="1" applyFill="1" applyBorder="1" applyAlignment="1">
      <alignment horizontal="left" vertical="top" wrapText="1"/>
    </xf>
    <xf numFmtId="0" fontId="4" fillId="0" borderId="10" xfId="0" applyFont="1" applyBorder="1" applyAlignment="1">
      <alignment horizontal="left" vertical="top" wrapText="1"/>
    </xf>
    <xf numFmtId="0" fontId="21" fillId="0" borderId="21" xfId="0" applyFont="1" applyBorder="1" applyAlignment="1">
      <alignment horizontal="left" vertical="top" wrapText="1"/>
    </xf>
    <xf numFmtId="0" fontId="4" fillId="0" borderId="21" xfId="0" applyFont="1" applyBorder="1" applyAlignment="1">
      <alignment horizontal="left" vertical="top" wrapText="1"/>
    </xf>
    <xf numFmtId="0" fontId="1" fillId="0" borderId="21" xfId="0" applyFont="1" applyBorder="1" applyAlignment="1">
      <alignment horizontal="left" vertical="top" wrapText="1"/>
    </xf>
    <xf numFmtId="0" fontId="4" fillId="4" borderId="21" xfId="0" applyFont="1" applyFill="1" applyBorder="1" applyAlignment="1">
      <alignment horizontal="left" vertical="top" wrapText="1"/>
    </xf>
    <xf numFmtId="0" fontId="1" fillId="3" borderId="0" xfId="0" applyFont="1" applyFill="1" applyAlignment="1" applyProtection="1">
      <alignment wrapText="1"/>
      <protection locked="0"/>
    </xf>
    <xf numFmtId="0" fontId="1" fillId="0" borderId="0" xfId="0" applyFont="1" applyAlignment="1">
      <alignment horizontal="left" vertical="top" wrapText="1"/>
    </xf>
    <xf numFmtId="0" fontId="1" fillId="0" borderId="0" xfId="0" applyFont="1" applyAlignment="1" applyProtection="1">
      <alignment wrapText="1"/>
      <protection locked="0"/>
    </xf>
    <xf numFmtId="0" fontId="1" fillId="3" borderId="0" xfId="0" applyFont="1" applyFill="1" applyAlignment="1">
      <alignment vertical="center" wrapText="1"/>
    </xf>
    <xf numFmtId="0" fontId="4" fillId="4" borderId="10" xfId="0" applyFont="1" applyFill="1" applyBorder="1" applyAlignment="1">
      <alignment horizontal="left" vertical="top"/>
    </xf>
    <xf numFmtId="0" fontId="21" fillId="4" borderId="2" xfId="0" applyFont="1" applyFill="1" applyBorder="1" applyAlignment="1">
      <alignment horizontal="left" vertical="top" wrapText="1"/>
    </xf>
    <xf numFmtId="0" fontId="31" fillId="3" borderId="21" xfId="0" applyFont="1" applyFill="1" applyBorder="1" applyAlignment="1">
      <alignment horizontal="left" vertical="top" wrapText="1"/>
    </xf>
    <xf numFmtId="0" fontId="1" fillId="39" borderId="0" xfId="0" applyFont="1" applyFill="1" applyAlignment="1" applyProtection="1">
      <alignment horizontal="center" vertical="center" wrapText="1"/>
      <protection locked="0"/>
    </xf>
    <xf numFmtId="0" fontId="27" fillId="39" borderId="5" xfId="1" applyFont="1" applyFill="1" applyBorder="1" applyAlignment="1">
      <alignment horizontal="center" vertical="center" wrapText="1"/>
    </xf>
    <xf numFmtId="0" fontId="30" fillId="39" borderId="8" xfId="1" applyFont="1" applyFill="1" applyBorder="1" applyAlignment="1">
      <alignment horizontal="center" vertical="center" wrapText="1"/>
    </xf>
    <xf numFmtId="0" fontId="27" fillId="39" borderId="9" xfId="1" applyFont="1" applyFill="1" applyBorder="1" applyAlignment="1">
      <alignment horizontal="center" vertical="center" wrapText="1"/>
    </xf>
    <xf numFmtId="0" fontId="28" fillId="39" borderId="0" xfId="1" applyFont="1" applyFill="1" applyAlignment="1">
      <alignment vertical="top" wrapText="1"/>
    </xf>
    <xf numFmtId="0" fontId="24" fillId="0" borderId="0" xfId="0" applyFont="1" applyAlignment="1" applyProtection="1">
      <alignment vertical="center" wrapText="1"/>
      <protection locked="0"/>
    </xf>
    <xf numFmtId="0" fontId="21" fillId="0" borderId="34" xfId="0" applyFont="1" applyBorder="1" applyAlignment="1" applyProtection="1">
      <alignment horizontal="left" vertical="top"/>
      <protection locked="0"/>
    </xf>
    <xf numFmtId="0" fontId="24" fillId="0" borderId="0" xfId="0" applyFont="1" applyAlignment="1" applyProtection="1">
      <alignment horizontal="left" vertical="top" wrapText="1"/>
      <protection locked="0"/>
    </xf>
    <xf numFmtId="0" fontId="21" fillId="0" borderId="34" xfId="0" applyFont="1" applyBorder="1" applyAlignment="1">
      <alignment horizontal="left" vertical="center" wrapText="1"/>
    </xf>
    <xf numFmtId="0" fontId="24" fillId="0" borderId="0" xfId="0" applyFont="1" applyAlignment="1">
      <alignment vertical="center" wrapText="1"/>
    </xf>
    <xf numFmtId="0" fontId="28" fillId="0" borderId="23" xfId="1" applyFont="1" applyBorder="1" applyAlignment="1">
      <alignment horizontal="left" vertical="top" wrapText="1"/>
    </xf>
    <xf numFmtId="0" fontId="21" fillId="0" borderId="0" xfId="0" applyFont="1" applyAlignment="1">
      <alignment vertical="top"/>
    </xf>
    <xf numFmtId="0" fontId="21" fillId="0" borderId="40" xfId="0" applyFont="1" applyBorder="1" applyAlignment="1" applyProtection="1">
      <alignment vertical="top"/>
      <protection locked="0"/>
    </xf>
    <xf numFmtId="0" fontId="21" fillId="0" borderId="0" xfId="0" applyFont="1" applyAlignment="1">
      <alignment horizontal="left" vertical="center"/>
    </xf>
    <xf numFmtId="0" fontId="21" fillId="0" borderId="34" xfId="0" applyFont="1" applyBorder="1" applyAlignment="1">
      <alignment horizontal="left" vertical="center"/>
    </xf>
    <xf numFmtId="0" fontId="21" fillId="0" borderId="13" xfId="0" applyFont="1" applyBorder="1" applyAlignment="1">
      <alignment horizontal="left" vertical="center"/>
    </xf>
    <xf numFmtId="0" fontId="31" fillId="3" borderId="2" xfId="0" applyFont="1" applyFill="1" applyBorder="1" applyAlignment="1">
      <alignment horizontal="center" vertical="top" wrapText="1"/>
    </xf>
    <xf numFmtId="0" fontId="23" fillId="0" borderId="41" xfId="0" applyFont="1" applyBorder="1" applyAlignment="1">
      <alignment horizontal="left" vertical="center" wrapText="1"/>
    </xf>
    <xf numFmtId="0" fontId="23" fillId="0" borderId="41" xfId="0" applyFont="1" applyBorder="1" applyAlignment="1">
      <alignment horizontal="left" vertical="center"/>
    </xf>
    <xf numFmtId="0" fontId="28" fillId="41" borderId="18" xfId="1" applyFont="1" applyFill="1" applyBorder="1" applyAlignment="1">
      <alignment horizontal="left" vertical="center" wrapText="1"/>
    </xf>
    <xf numFmtId="0" fontId="26" fillId="41" borderId="19" xfId="1" applyFont="1" applyFill="1" applyBorder="1" applyAlignment="1">
      <alignment horizontal="center" vertical="center" wrapText="1"/>
    </xf>
    <xf numFmtId="0" fontId="26" fillId="41" borderId="7" xfId="1" applyFont="1" applyFill="1" applyBorder="1" applyAlignment="1">
      <alignment horizontal="center" vertical="center" wrapText="1"/>
    </xf>
    <xf numFmtId="0" fontId="28" fillId="41" borderId="17" xfId="1" applyFont="1" applyFill="1" applyBorder="1" applyAlignment="1">
      <alignment horizontal="left" vertical="center" wrapText="1"/>
    </xf>
    <xf numFmtId="0" fontId="28" fillId="41" borderId="8" xfId="1" applyFont="1" applyFill="1" applyBorder="1" applyAlignment="1">
      <alignment horizontal="center" vertical="center" wrapText="1"/>
    </xf>
    <xf numFmtId="0" fontId="31" fillId="3" borderId="0" xfId="0" applyFont="1" applyFill="1"/>
    <xf numFmtId="0" fontId="21" fillId="6" borderId="2" xfId="0" applyFont="1" applyFill="1" applyBorder="1" applyAlignment="1">
      <alignment horizontal="left" vertical="top" wrapText="1"/>
    </xf>
    <xf numFmtId="0" fontId="33" fillId="0" borderId="42" xfId="0" applyFont="1" applyBorder="1"/>
    <xf numFmtId="0" fontId="4" fillId="39" borderId="43" xfId="0" applyFont="1" applyFill="1" applyBorder="1" applyAlignment="1">
      <alignment horizontal="left" vertical="top" wrapText="1"/>
    </xf>
    <xf numFmtId="0" fontId="33" fillId="0" borderId="33" xfId="0" applyFont="1" applyBorder="1"/>
    <xf numFmtId="0" fontId="1" fillId="3" borderId="0" xfId="0" applyFont="1" applyFill="1" applyBorder="1" applyAlignment="1">
      <alignment horizontal="left" vertical="top" wrapText="1"/>
    </xf>
    <xf numFmtId="0" fontId="1" fillId="3" borderId="0" xfId="0" applyFont="1" applyFill="1" applyBorder="1" applyAlignment="1">
      <alignment vertical="center" wrapText="1"/>
    </xf>
    <xf numFmtId="0" fontId="33" fillId="0" borderId="0" xfId="0" applyFont="1" applyBorder="1"/>
    <xf numFmtId="0" fontId="28" fillId="0" borderId="6" xfId="1" applyFont="1" applyBorder="1" applyAlignment="1">
      <alignment horizontal="left" wrapText="1"/>
    </xf>
    <xf numFmtId="0" fontId="35" fillId="42" borderId="44" xfId="0" applyFont="1" applyFill="1" applyBorder="1" applyAlignment="1">
      <alignment horizontal="left" vertical="top" wrapText="1"/>
    </xf>
    <xf numFmtId="0" fontId="36" fillId="3" borderId="2" xfId="0" applyFont="1" applyFill="1" applyBorder="1" applyAlignment="1">
      <alignment horizontal="left" vertical="top" wrapText="1"/>
    </xf>
    <xf numFmtId="0" fontId="33" fillId="0" borderId="45" xfId="0" applyFont="1" applyBorder="1"/>
    <xf numFmtId="0" fontId="26" fillId="41" borderId="19" xfId="1" applyFont="1" applyFill="1" applyBorder="1" applyAlignment="1">
      <alignment wrapText="1"/>
    </xf>
    <xf numFmtId="0" fontId="33" fillId="0" borderId="46" xfId="0" applyFont="1" applyBorder="1" applyAlignment="1">
      <alignment wrapText="1"/>
    </xf>
    <xf numFmtId="0" fontId="4" fillId="0" borderId="0" xfId="0" applyFont="1" applyFill="1" applyAlignment="1">
      <alignment horizontal="center" vertical="center"/>
    </xf>
    <xf numFmtId="0" fontId="1" fillId="39" borderId="0" xfId="0" applyFont="1" applyFill="1" applyBorder="1" applyAlignment="1" applyProtection="1">
      <alignment horizontal="center" vertical="center" wrapText="1"/>
      <protection locked="0"/>
    </xf>
    <xf numFmtId="0" fontId="4" fillId="6" borderId="0" xfId="0" applyFont="1" applyFill="1" applyBorder="1" applyAlignment="1">
      <alignment horizontal="left" vertical="top" wrapText="1"/>
    </xf>
    <xf numFmtId="0" fontId="27" fillId="39" borderId="7" xfId="1" applyFont="1" applyFill="1" applyBorder="1" applyAlignment="1">
      <alignment horizontal="center" vertical="center" wrapText="1"/>
    </xf>
    <xf numFmtId="0" fontId="27" fillId="39" borderId="8" xfId="1" applyFont="1" applyFill="1" applyBorder="1" applyAlignment="1">
      <alignment horizontal="center" vertical="center" wrapText="1"/>
    </xf>
    <xf numFmtId="0" fontId="25" fillId="40" borderId="12" xfId="0" applyFont="1" applyFill="1" applyBorder="1" applyAlignment="1" applyProtection="1">
      <alignment horizontal="center" vertical="top" wrapText="1"/>
      <protection locked="0"/>
    </xf>
    <xf numFmtId="0" fontId="25" fillId="5" borderId="12" xfId="0" applyFont="1" applyFill="1" applyBorder="1" applyAlignment="1" applyProtection="1">
      <alignment horizontal="center" vertical="top" wrapText="1"/>
      <protection locked="0"/>
    </xf>
    <xf numFmtId="0" fontId="4" fillId="38" borderId="35" xfId="0" applyFont="1" applyFill="1" applyBorder="1" applyAlignment="1">
      <alignment horizontal="center" vertical="center" wrapText="1"/>
    </xf>
    <xf numFmtId="0" fontId="4" fillId="38" borderId="36" xfId="0" applyFont="1" applyFill="1" applyBorder="1" applyAlignment="1">
      <alignment horizontal="center" vertical="center" wrapText="1"/>
    </xf>
    <xf numFmtId="0" fontId="21" fillId="0" borderId="0" xfId="0" applyFont="1" applyAlignment="1" applyProtection="1">
      <alignment horizontal="center" vertical="top"/>
      <protection locked="0"/>
    </xf>
    <xf numFmtId="0" fontId="25" fillId="41" borderId="37" xfId="0" applyFont="1" applyFill="1" applyBorder="1" applyAlignment="1" applyProtection="1">
      <alignment horizontal="left" vertical="top" wrapText="1"/>
      <protection locked="0"/>
    </xf>
    <xf numFmtId="0" fontId="25" fillId="41" borderId="38" xfId="0" applyFont="1" applyFill="1" applyBorder="1" applyAlignment="1" applyProtection="1">
      <alignment horizontal="left" vertical="top" wrapText="1"/>
      <protection locked="0"/>
    </xf>
    <xf numFmtId="0" fontId="25" fillId="41" borderId="39" xfId="0" applyFont="1" applyFill="1" applyBorder="1" applyAlignment="1" applyProtection="1">
      <alignment horizontal="left" vertical="top" wrapText="1"/>
      <protection locked="0"/>
    </xf>
    <xf numFmtId="0" fontId="25" fillId="41" borderId="2" xfId="0" applyFont="1" applyFill="1" applyBorder="1" applyAlignment="1">
      <alignment horizontal="center" vertical="top" wrapText="1"/>
    </xf>
    <xf numFmtId="0" fontId="25" fillId="2" borderId="2" xfId="0" applyFont="1" applyFill="1" applyBorder="1" applyAlignment="1">
      <alignment horizontal="center" vertical="top" wrapText="1"/>
    </xf>
    <xf numFmtId="0" fontId="21" fillId="0" borderId="0" xfId="0" applyFont="1" applyAlignment="1">
      <alignment horizontal="center" vertical="top"/>
    </xf>
    <xf numFmtId="0" fontId="21" fillId="0" borderId="0" xfId="0" applyFont="1" applyAlignment="1">
      <alignment horizontal="center" vertical="center"/>
    </xf>
    <xf numFmtId="0" fontId="26" fillId="41" borderId="2" xfId="0" applyFont="1" applyFill="1" applyBorder="1" applyAlignment="1">
      <alignment horizontal="center" vertical="top" wrapText="1"/>
    </xf>
    <xf numFmtId="0" fontId="26" fillId="2" borderId="2" xfId="0" applyFont="1" applyFill="1" applyBorder="1" applyAlignment="1">
      <alignment horizontal="center" vertical="top" wrapText="1"/>
    </xf>
    <xf numFmtId="0" fontId="26" fillId="41" borderId="2" xfId="0" applyFont="1" applyFill="1" applyBorder="1" applyAlignment="1">
      <alignment horizontal="center" wrapText="1"/>
    </xf>
    <xf numFmtId="0" fontId="26" fillId="2" borderId="2" xfId="0" applyFont="1" applyFill="1" applyBorder="1" applyAlignment="1">
      <alignment horizontal="center" wrapText="1"/>
    </xf>
  </cellXfs>
  <cellStyles count="53">
    <cellStyle name="?蟓%U?&amp;H?_x0008__x001e__x000d_?_x000f__x0001__x0001_" xfId="1" xr:uid="{00000000-0005-0000-0000-000000000000}"/>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38" xr:uid="{00000000-0005-0000-0000-00000D000000}"/>
    <cellStyle name="60% - Accent1 2 2" xfId="47" xr:uid="{A2C79574-BF34-4B39-9DE5-9860A0201E67}"/>
    <cellStyle name="60% - Accent2 2" xfId="39" xr:uid="{00000000-0005-0000-0000-00000E000000}"/>
    <cellStyle name="60% - Accent2 2 2" xfId="48" xr:uid="{94DB050D-5425-4EA5-9266-C4DEAA458070}"/>
    <cellStyle name="60% - Accent3 2" xfId="40" xr:uid="{00000000-0005-0000-0000-00000F000000}"/>
    <cellStyle name="60% - Accent3 2 2" xfId="49" xr:uid="{0CF46E89-F88A-4A62-A764-B6A7A1B5F06B}"/>
    <cellStyle name="60% - Accent4 2" xfId="41" xr:uid="{00000000-0005-0000-0000-000010000000}"/>
    <cellStyle name="60% - Accent4 2 2" xfId="50" xr:uid="{C592FAAD-4D33-416C-B239-A14908F8B311}"/>
    <cellStyle name="60% - Accent5 2" xfId="42" xr:uid="{00000000-0005-0000-0000-000011000000}"/>
    <cellStyle name="60% - Accent5 2 2" xfId="51" xr:uid="{1D7EB517-7DBD-4B7D-A2A4-709E760B970C}"/>
    <cellStyle name="60% - Accent6 2" xfId="43" xr:uid="{00000000-0005-0000-0000-000012000000}"/>
    <cellStyle name="60% - Accent6 2 2" xfId="52" xr:uid="{159C717A-5672-40F8-9671-1F5F8B0B3F8B}"/>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Calculation" xfId="11" builtinId="22" customBuiltin="1"/>
    <cellStyle name="Check Cell" xfId="13" builtinId="23" customBuiltin="1"/>
    <cellStyle name="Explanatory Text" xfId="16"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9" builtinId="20" customBuiltin="1"/>
    <cellStyle name="Linked Cell" xfId="12" builtinId="24" customBuiltin="1"/>
    <cellStyle name="Neutral 2" xfId="37" xr:uid="{00000000-0005-0000-0000-000024000000}"/>
    <cellStyle name="Neutral 2 2" xfId="46" xr:uid="{195EDAEE-CEA2-4888-9515-C54FE93539F1}"/>
    <cellStyle name="Normal" xfId="0" builtinId="0"/>
    <cellStyle name="Normal 2" xfId="36" xr:uid="{00000000-0005-0000-0000-000026000000}"/>
    <cellStyle name="Normal 2 2" xfId="44" xr:uid="{00000000-0005-0000-0000-000027000000}"/>
    <cellStyle name="Normal 3" xfId="45" xr:uid="{E1CC00B7-9DF3-4FCC-9BE9-BCC05D111D51}"/>
    <cellStyle name="Note" xfId="15" builtinId="10" customBuiltin="1"/>
    <cellStyle name="Output" xfId="10" builtinId="21" customBuiltin="1"/>
    <cellStyle name="Title" xfId="2" builtinId="15" customBuiltin="1"/>
    <cellStyle name="Total" xfId="17" builtinId="25" customBuiltin="1"/>
    <cellStyle name="Warning Text" xfId="14" builtinId="11" customBuiltin="1"/>
  </cellStyles>
  <dxfs count="12">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fill>
        <patternFill patternType="solid">
          <fgColor theme="4" tint="0.79998168889431442"/>
          <bgColor theme="4" tint="0.79998168889431442"/>
        </patternFill>
      </fill>
    </dxf>
    <dxf>
      <font>
        <b/>
        <color theme="1"/>
      </font>
    </dxf>
    <dxf>
      <font>
        <b/>
        <color theme="1"/>
      </font>
      <fill>
        <patternFill patternType="solid">
          <fgColor theme="4" tint="0.59999389629810485"/>
          <bgColor theme="4" tint="0.59999389629810485"/>
        </patternFill>
      </fill>
    </dxf>
    <dxf>
      <font>
        <b/>
        <color theme="1"/>
      </font>
      <border>
        <left style="medium">
          <color theme="4" tint="0.59999389629810485"/>
        </left>
        <right style="medium">
          <color theme="4" tint="0.59999389629810485"/>
        </right>
        <top style="medium">
          <color theme="4" tint="0.59999389629810485"/>
        </top>
        <bottom style="medium">
          <color theme="4" tint="0.59999389629810485"/>
        </bottom>
      </border>
    </dxf>
    <dxf>
      <border>
        <left style="thin">
          <color theme="4" tint="0.39997558519241921"/>
        </left>
        <right style="thin">
          <color theme="4" tint="0.39997558519241921"/>
        </right>
      </border>
    </dxf>
    <dxf>
      <border>
        <top style="thin">
          <color theme="4" tint="0.39997558519241921"/>
        </top>
        <bottom style="thin">
          <color theme="4" tint="0.39997558519241921"/>
        </bottom>
        <horizontal style="thin">
          <color theme="4" tint="0.39997558519241921"/>
        </horizontal>
      </border>
    </dxf>
    <dxf>
      <font>
        <b/>
        <i val="0"/>
        <color theme="0"/>
      </font>
      <fill>
        <patternFill>
          <bgColor theme="4"/>
        </patternFill>
      </fill>
      <border>
        <top style="thin">
          <color theme="4" tint="-0.249977111117893"/>
        </top>
        <bottom style="medium">
          <color theme="4" tint="-0.249977111117893"/>
        </bottom>
      </border>
    </dxf>
    <dxf>
      <font>
        <b/>
        <color theme="0"/>
      </font>
      <fill>
        <patternFill patternType="solid">
          <fgColor theme="4"/>
          <bgColor theme="4"/>
        </patternFill>
      </fill>
      <border>
        <top style="medium">
          <color theme="4" tint="-0.249977111117893"/>
        </top>
      </border>
    </dxf>
    <dxf>
      <font>
        <color theme="1"/>
      </font>
    </dxf>
  </dxfs>
  <tableStyles count="1" defaultTableStyle="TableStyleMedium9" defaultPivotStyle="PivotStyleLight16">
    <tableStyle name="ARISreport" table="0" count="12" xr9:uid="{00000000-0011-0000-FFFF-FFFF00000000}">
      <tableStyleElement type="wholeTable" dxfId="11"/>
      <tableStyleElement type="headerRow" dxfId="10"/>
      <tableStyleElement type="totalRow" dxfId="9"/>
      <tableStyleElement type="firstRowStripe" dxfId="8"/>
      <tableStyleElement type="firstColumnStripe" dxfId="7"/>
      <tableStyleElement type="firstSubtotalColumn"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293276"/>
      <color rgb="FF003366"/>
      <color rgb="FF16365C"/>
      <color rgb="FFF08261"/>
      <color rgb="FFC7C703"/>
      <color rgb="FFC9D9F2"/>
      <color rgb="FFCC8261"/>
      <color rgb="FFC5D9F1"/>
      <color rgb="FF0A1844"/>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hyperlink" Target="#Home!C2"/></Relationships>
</file>

<file path=xl/drawings/_rels/drawing2.xml.rels><?xml version="1.0" encoding="UTF-8" standalone="yes"?>
<Relationships xmlns="http://schemas.openxmlformats.org/package/2006/relationships"><Relationship Id="rId8" Type="http://schemas.openxmlformats.org/officeDocument/2006/relationships/hyperlink" Target="#'(7) Security Management (SMS)'!C2"/><Relationship Id="rId13" Type="http://schemas.openxmlformats.org/officeDocument/2006/relationships/hyperlink" Target="#'(12) Digital Engagement'!C2"/><Relationship Id="rId18" Type="http://schemas.openxmlformats.org/officeDocument/2006/relationships/hyperlink" Target="#'(17) Temenos Banking Solution'!C2"/><Relationship Id="rId3" Type="http://schemas.openxmlformats.org/officeDocument/2006/relationships/hyperlink" Target="#'(2) Corporate Banking Processes'!C2"/><Relationship Id="rId21" Type="http://schemas.openxmlformats.org/officeDocument/2006/relationships/hyperlink" Target="#'(19) Enterprise Services'!C2"/><Relationship Id="rId7" Type="http://schemas.openxmlformats.org/officeDocument/2006/relationships/hyperlink" Target="#'(6) Online Channels'!C2"/><Relationship Id="rId12" Type="http://schemas.openxmlformats.org/officeDocument/2006/relationships/hyperlink" Target="#'(11) Regionalized Solution'!C2"/><Relationship Id="rId17" Type="http://schemas.openxmlformats.org/officeDocument/2006/relationships/hyperlink" Target="#'(14) Financial Crime Mitigation'!C2"/><Relationship Id="rId2" Type="http://schemas.openxmlformats.org/officeDocument/2006/relationships/hyperlink" Target="#'(1) Retail Banking Processes'!C2"/><Relationship Id="rId16" Type="http://schemas.openxmlformats.org/officeDocument/2006/relationships/hyperlink" Target="#'(16) Digital Banking (Infinity)'!C2"/><Relationship Id="rId20" Type="http://schemas.openxmlformats.org/officeDocument/2006/relationships/hyperlink" Target="#'(18) Business Banking Processes'!C2"/><Relationship Id="rId1" Type="http://schemas.openxmlformats.org/officeDocument/2006/relationships/hyperlink" Target="#' (0) Customer Relationship Mgmt'!C2"/><Relationship Id="rId6" Type="http://schemas.openxmlformats.org/officeDocument/2006/relationships/hyperlink" Target="#'(5) Private Wealth Management'!C2"/><Relationship Id="rId11" Type="http://schemas.openxmlformats.org/officeDocument/2006/relationships/hyperlink" Target="#'(10) Islamic Banking'!C2"/><Relationship Id="rId5" Type="http://schemas.openxmlformats.org/officeDocument/2006/relationships/hyperlink" Target="#'(4) Treasury Processes'!C2"/><Relationship Id="rId15" Type="http://schemas.openxmlformats.org/officeDocument/2006/relationships/hyperlink" Target="#'(15) Fund Accounting Processes'!C2"/><Relationship Id="rId23" Type="http://schemas.openxmlformats.org/officeDocument/2006/relationships/hyperlink" Target="#'(21) Platform Based Approach'!C2"/><Relationship Id="rId10" Type="http://schemas.openxmlformats.org/officeDocument/2006/relationships/hyperlink" Target="#'(9) Core Parameters'!C2"/><Relationship Id="rId19" Type="http://schemas.openxmlformats.org/officeDocument/2006/relationships/image" Target="../media/image5.png"/><Relationship Id="rId4" Type="http://schemas.openxmlformats.org/officeDocument/2006/relationships/hyperlink" Target="#'(3) Transactional Processes'!C2"/><Relationship Id="rId9" Type="http://schemas.openxmlformats.org/officeDocument/2006/relationships/hyperlink" Target="#'(8) Financial Accounting'!C2"/><Relationship Id="rId14" Type="http://schemas.openxmlformats.org/officeDocument/2006/relationships/hyperlink" Target="#'(13) Reporting and Compliance'!C2"/><Relationship Id="rId22" Type="http://schemas.openxmlformats.org/officeDocument/2006/relationships/hyperlink" Target="#'(20) Financial Risk (FRM)  '!C2"/></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6.jpeg"/><Relationship Id="rId1" Type="http://schemas.openxmlformats.org/officeDocument/2006/relationships/hyperlink" Target="#Home!B3"/></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7.jpeg"/><Relationship Id="rId1" Type="http://schemas.openxmlformats.org/officeDocument/2006/relationships/hyperlink" Target="#Home!B4"/></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7.jpeg"/><Relationship Id="rId1" Type="http://schemas.openxmlformats.org/officeDocument/2006/relationships/hyperlink" Target="#Home!B5"/></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7.jpeg"/><Relationship Id="rId1" Type="http://schemas.openxmlformats.org/officeDocument/2006/relationships/hyperlink" Target="#Home!B6"/></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7.jpeg"/><Relationship Id="rId1" Type="http://schemas.openxmlformats.org/officeDocument/2006/relationships/hyperlink" Target="#Home!B7"/></Relationships>
</file>

<file path=xl/drawings/_rels/drawing8.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7.jpeg"/><Relationship Id="rId1" Type="http://schemas.openxmlformats.org/officeDocument/2006/relationships/hyperlink" Target="#Home!B8"/></Relationships>
</file>

<file path=xl/drawings/_rels/drawing9.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7.jpeg"/><Relationship Id="rId1" Type="http://schemas.openxmlformats.org/officeDocument/2006/relationships/hyperlink" Target="#Home!B9"/></Relationships>
</file>

<file path=xl/drawings/_rels/drawing10.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7.jpeg"/><Relationship Id="rId1" Type="http://schemas.openxmlformats.org/officeDocument/2006/relationships/hyperlink" Target="#Home!B10"/></Relationships>
</file>

<file path=xl/drawings/_rels/drawing11.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7.jpeg"/><Relationship Id="rId1" Type="http://schemas.openxmlformats.org/officeDocument/2006/relationships/hyperlink" Target="#Home!B11"/></Relationships>
</file>

<file path=xl/drawings/_rels/drawing1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7.jpeg"/><Relationship Id="rId1" Type="http://schemas.openxmlformats.org/officeDocument/2006/relationships/hyperlink" Target="#Home!B12"/></Relationships>
</file>

<file path=xl/drawings/_rels/drawing1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7.jpeg"/><Relationship Id="rId1" Type="http://schemas.openxmlformats.org/officeDocument/2006/relationships/hyperlink" Target="#Home!B13"/></Relationships>
</file>

<file path=xl/drawings/_rels/drawing1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7.jpeg"/><Relationship Id="rId1" Type="http://schemas.openxmlformats.org/officeDocument/2006/relationships/hyperlink" Target="#Home!B14"/></Relationships>
</file>

<file path=xl/drawings/_rels/drawing1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7.jpeg"/><Relationship Id="rId1" Type="http://schemas.openxmlformats.org/officeDocument/2006/relationships/hyperlink" Target="#Home!B15"/></Relationships>
</file>

<file path=xl/drawings/_rels/drawing1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7.jpeg"/><Relationship Id="rId1" Type="http://schemas.openxmlformats.org/officeDocument/2006/relationships/hyperlink" Target="#Home!B16"/></Relationships>
</file>

<file path=xl/drawings/_rels/drawing1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7.jpeg"/><Relationship Id="rId1" Type="http://schemas.openxmlformats.org/officeDocument/2006/relationships/hyperlink" Target="#Home!B17"/></Relationships>
</file>

<file path=xl/drawings/_rels/drawing18.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7.jpeg"/><Relationship Id="rId1" Type="http://schemas.openxmlformats.org/officeDocument/2006/relationships/hyperlink" Target="#Home!B18"/></Relationships>
</file>

<file path=xl/drawings/_rels/drawing19.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7.jpeg"/><Relationship Id="rId1" Type="http://schemas.openxmlformats.org/officeDocument/2006/relationships/hyperlink" Target="#Home!B19"/></Relationships>
</file>

<file path=xl/drawings/_rels/drawing20.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7.jpeg"/><Relationship Id="rId1" Type="http://schemas.openxmlformats.org/officeDocument/2006/relationships/hyperlink" Target="#Home!B20"/></Relationships>
</file>

<file path=xl/drawings/_rels/drawing21.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7.jpeg"/><Relationship Id="rId1" Type="http://schemas.openxmlformats.org/officeDocument/2006/relationships/hyperlink" Target="#Home!B21"/></Relationships>
</file>

<file path=xl/drawings/_rels/drawing2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7.jpeg"/><Relationship Id="rId1" Type="http://schemas.openxmlformats.org/officeDocument/2006/relationships/hyperlink" Target="#Home!B22"/></Relationships>
</file>

<file path=xl/drawings/_rels/drawing2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7.jpeg"/><Relationship Id="rId1" Type="http://schemas.openxmlformats.org/officeDocument/2006/relationships/hyperlink" Target="#Home!B23"/></Relationships>
</file>

<file path=xl/drawings/_rels/drawing2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7.jpeg"/><Relationship Id="rId1" Type="http://schemas.openxmlformats.org/officeDocument/2006/relationships/hyperlink" Target="#Home!B24"/></Relationships>
</file>

<file path=xl/drawings/drawing1.xml><?xml version="1.0" encoding="utf-8"?>
<xdr:wsDr xmlns:xdr="http://schemas.openxmlformats.org/drawingml/2006/spreadsheetDrawing" xmlns:a="http://schemas.openxmlformats.org/drawingml/2006/main">
  <xdr:twoCellAnchor editAs="oneCell">
    <xdr:from>
      <xdr:col>17</xdr:col>
      <xdr:colOff>367065</xdr:colOff>
      <xdr:row>1</xdr:row>
      <xdr:rowOff>0</xdr:rowOff>
    </xdr:from>
    <xdr:to>
      <xdr:col>20</xdr:col>
      <xdr:colOff>144458</xdr:colOff>
      <xdr:row>2</xdr:row>
      <xdr:rowOff>91758</xdr:rowOff>
    </xdr:to>
    <xdr:pic>
      <xdr:nvPicPr>
        <xdr:cNvPr id="2" name="Graphic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270015" y="165100"/>
          <a:ext cx="1701443" cy="275908"/>
        </a:xfrm>
        <a:prstGeom prst="rect">
          <a:avLst/>
        </a:prstGeom>
      </xdr:spPr>
    </xdr:pic>
    <xdr:clientData/>
  </xdr:twoCellAnchor>
  <xdr:twoCellAnchor>
    <xdr:from>
      <xdr:col>42</xdr:col>
      <xdr:colOff>198437</xdr:colOff>
      <xdr:row>37</xdr:row>
      <xdr:rowOff>166689</xdr:rowOff>
    </xdr:from>
    <xdr:to>
      <xdr:col>45</xdr:col>
      <xdr:colOff>47623</xdr:colOff>
      <xdr:row>41</xdr:row>
      <xdr:rowOff>158751</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7201812" y="6905627"/>
          <a:ext cx="1777999" cy="722312"/>
        </a:xfrm>
        <a:prstGeom prst="rect">
          <a:avLst/>
        </a:prstGeom>
        <a:solidFill>
          <a:srgbClr val="29327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000" b="1">
              <a:solidFill>
                <a:srgbClr val="C7C703"/>
              </a:solidFill>
            </a:rPr>
            <a:t>202211</a:t>
          </a:r>
        </a:p>
      </xdr:txBody>
    </xdr:sp>
    <xdr:clientData/>
  </xdr:twoCellAnchor>
  <xdr:twoCellAnchor editAs="oneCell">
    <xdr:from>
      <xdr:col>4</xdr:col>
      <xdr:colOff>261937</xdr:colOff>
      <xdr:row>0</xdr:row>
      <xdr:rowOff>0</xdr:rowOff>
    </xdr:from>
    <xdr:to>
      <xdr:col>20</xdr:col>
      <xdr:colOff>458787</xdr:colOff>
      <xdr:row>28</xdr:row>
      <xdr:rowOff>57150</xdr:rowOff>
    </xdr:to>
    <xdr:pic>
      <xdr:nvPicPr>
        <xdr:cNvPr id="13" name="Picture 12">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33687" y="0"/>
          <a:ext cx="10483850" cy="5153025"/>
        </a:xfrm>
        <a:prstGeom prst="rect">
          <a:avLst/>
        </a:prstGeom>
        <a:solidFill>
          <a:srgbClr val="293276"/>
        </a:solidFill>
        <a:ln w="9525" cmpd="sng">
          <a:solidFill>
            <a:schemeClr val="lt1">
              <a:shade val="50000"/>
            </a:schemeClr>
          </a:solidFill>
        </a:ln>
      </xdr:spPr>
    </xdr:pic>
    <xdr:clientData/>
  </xdr:twoCellAnchor>
  <xdr:twoCellAnchor editAs="oneCell">
    <xdr:from>
      <xdr:col>18</xdr:col>
      <xdr:colOff>214310</xdr:colOff>
      <xdr:row>0</xdr:row>
      <xdr:rowOff>15876</xdr:rowOff>
    </xdr:from>
    <xdr:to>
      <xdr:col>20</xdr:col>
      <xdr:colOff>214310</xdr:colOff>
      <xdr:row>7</xdr:row>
      <xdr:rowOff>11113</xdr:rowOff>
    </xdr:to>
    <xdr:pic>
      <xdr:nvPicPr>
        <xdr:cNvPr id="4" name="Picture 3" descr="Picture3.png">
          <a:hlinkClick xmlns:r="http://schemas.openxmlformats.org/officeDocument/2006/relationships" r:id="rId4"/>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5" cstate="print"/>
        <a:stretch>
          <a:fillRect/>
        </a:stretch>
      </xdr:blipFill>
      <xdr:spPr>
        <a:xfrm>
          <a:off x="11787185" y="15876"/>
          <a:ext cx="1285875" cy="1257300"/>
        </a:xfrm>
        <a:prstGeom prst="rect">
          <a:avLst/>
        </a:prstGeom>
        <a:effectLst/>
      </xdr:spPr>
    </xdr:pic>
    <xdr:clientData/>
  </xdr:twoCellAnchor>
  <xdr:twoCellAnchor>
    <xdr:from>
      <xdr:col>9</xdr:col>
      <xdr:colOff>190501</xdr:colOff>
      <xdr:row>14</xdr:row>
      <xdr:rowOff>23813</xdr:rowOff>
    </xdr:from>
    <xdr:to>
      <xdr:col>13</xdr:col>
      <xdr:colOff>55563</xdr:colOff>
      <xdr:row>17</xdr:row>
      <xdr:rowOff>71437</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5976939" y="2563813"/>
          <a:ext cx="2436812" cy="595312"/>
        </a:xfrm>
        <a:prstGeom prst="rect">
          <a:avLst/>
        </a:prstGeom>
        <a:solidFill>
          <a:srgbClr val="29327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000" b="1">
              <a:solidFill>
                <a:srgbClr val="F08261"/>
              </a:solidFill>
            </a:rPr>
            <a:t>R25 AMR</a:t>
          </a:r>
          <a:endParaRPr lang="en-GB" sz="3200" b="1">
            <a:solidFill>
              <a:srgbClr val="F0826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96046</xdr:colOff>
      <xdr:row>2</xdr:row>
      <xdr:rowOff>113506</xdr:rowOff>
    </xdr:from>
    <xdr:to>
      <xdr:col>1</xdr:col>
      <xdr:colOff>582046</xdr:colOff>
      <xdr:row>2</xdr:row>
      <xdr:rowOff>788747</xdr:rowOff>
    </xdr:to>
    <xdr:grpSp>
      <xdr:nvGrpSpPr>
        <xdr:cNvPr id="32" name="CopyData">
          <a:hlinkClick xmlns:r="http://schemas.openxmlformats.org/officeDocument/2006/relationships" r:id="rId1"/>
          <a:extLst>
            <a:ext uri="{FF2B5EF4-FFF2-40B4-BE49-F238E27FC236}">
              <a16:creationId xmlns:a16="http://schemas.microsoft.com/office/drawing/2014/main" id="{00000000-0008-0000-0100-000020000000}"/>
            </a:ext>
          </a:extLst>
        </xdr:cNvPr>
        <xdr:cNvGrpSpPr>
          <a:grpSpLocks noChangeAspect="1"/>
        </xdr:cNvGrpSpPr>
      </xdr:nvGrpSpPr>
      <xdr:grpSpPr bwMode="auto">
        <a:xfrm>
          <a:off x="246859" y="1383506"/>
          <a:ext cx="486000" cy="675241"/>
          <a:chOff x="952" y="162"/>
          <a:chExt cx="125" cy="125"/>
        </a:xfrm>
        <a:effectLst>
          <a:glow rad="127000">
            <a:srgbClr val="C7C703"/>
          </a:glow>
        </a:effectLst>
      </xdr:grpSpPr>
      <xdr:sp macro="[0]!Sheet1.SaveThisData" textlink="">
        <xdr:nvSpPr>
          <xdr:cNvPr id="33" name="Oval 28">
            <a:extLst>
              <a:ext uri="{FF2B5EF4-FFF2-40B4-BE49-F238E27FC236}">
                <a16:creationId xmlns:a16="http://schemas.microsoft.com/office/drawing/2014/main" id="{00000000-0008-0000-0100-000021000000}"/>
              </a:ext>
            </a:extLst>
          </xdr:cNvPr>
          <xdr:cNvSpPr>
            <a:spLocks noChangeAspect="1" noChangeArrowheads="1"/>
          </xdr:cNvSpPr>
        </xdr:nvSpPr>
        <xdr:spPr bwMode="auto">
          <a:xfrm>
            <a:off x="952" y="162"/>
            <a:ext cx="125" cy="125"/>
          </a:xfrm>
          <a:prstGeom prst="ellipse">
            <a:avLst/>
          </a:prstGeom>
          <a:gradFill rotWithShape="1">
            <a:gsLst>
              <a:gs pos="0">
                <a:srgbClr val="FFFFFF"/>
              </a:gs>
              <a:gs pos="100000">
                <a:srgbClr val="FFFFFF">
                  <a:gamma/>
                  <a:shade val="76078"/>
                  <a:invGamma/>
                </a:srgbClr>
              </a:gs>
            </a:gsLst>
            <a:lin ang="5400000" scaled="1"/>
          </a:gradFill>
          <a:ln w="28575">
            <a:noFill/>
            <a:round/>
            <a:headEnd/>
            <a:tailEnd/>
          </a:ln>
        </xdr:spPr>
      </xdr:sp>
      <xdr:sp macro="[0]!Sheet1.SaveThisData" textlink="">
        <xdr:nvSpPr>
          <xdr:cNvPr id="34" name="Oval 29">
            <a:extLst>
              <a:ext uri="{FF2B5EF4-FFF2-40B4-BE49-F238E27FC236}">
                <a16:creationId xmlns:a16="http://schemas.microsoft.com/office/drawing/2014/main" id="{00000000-0008-0000-0100-000022000000}"/>
              </a:ext>
            </a:extLst>
          </xdr:cNvPr>
          <xdr:cNvSpPr>
            <a:spLocks noChangeAspect="1" noChangeArrowheads="1"/>
          </xdr:cNvSpPr>
        </xdr:nvSpPr>
        <xdr:spPr bwMode="auto">
          <a:xfrm>
            <a:off x="961" y="171"/>
            <a:ext cx="106" cy="106"/>
          </a:xfrm>
          <a:prstGeom prst="ellipse">
            <a:avLst/>
          </a:prstGeom>
          <a:gradFill rotWithShape="1">
            <a:gsLst>
              <a:gs pos="0">
                <a:srgbClr val="FFFFFF">
                  <a:gamma/>
                  <a:shade val="76078"/>
                  <a:invGamma/>
                </a:srgbClr>
              </a:gs>
              <a:gs pos="100000">
                <a:srgbClr val="FFFFFF"/>
              </a:gs>
            </a:gsLst>
            <a:lin ang="5400000" scaled="1"/>
          </a:gradFill>
          <a:ln w="28575">
            <a:noFill/>
            <a:round/>
            <a:headEnd/>
            <a:tailEnd/>
          </a:ln>
        </xdr:spPr>
        <xdr:txBody>
          <a:bodyPr vertOverflow="clip" wrap="square" lIns="73152" tIns="27432" rIns="73152" bIns="27432" anchor="ctr" upright="1"/>
          <a:lstStyle/>
          <a:p>
            <a:pPr algn="ctr" rtl="0">
              <a:defRPr sz="1000"/>
            </a:pPr>
            <a:endParaRPr lang="en-US" sz="1400" b="1" i="0" strike="noStrike">
              <a:solidFill>
                <a:srgbClr val="969696"/>
              </a:solidFill>
              <a:latin typeface="Wingdings"/>
            </a:endParaRPr>
          </a:p>
        </xdr:txBody>
      </xdr:sp>
    </xdr:grpSp>
    <xdr:clientData fLocksWithSheet="0"/>
  </xdr:twoCellAnchor>
  <xdr:twoCellAnchor>
    <xdr:from>
      <xdr:col>1</xdr:col>
      <xdr:colOff>89696</xdr:colOff>
      <xdr:row>3</xdr:row>
      <xdr:rowOff>133085</xdr:rowOff>
    </xdr:from>
    <xdr:to>
      <xdr:col>1</xdr:col>
      <xdr:colOff>575696</xdr:colOff>
      <xdr:row>3</xdr:row>
      <xdr:rowOff>779794</xdr:rowOff>
    </xdr:to>
    <xdr:grpSp>
      <xdr:nvGrpSpPr>
        <xdr:cNvPr id="50" name="CopyData">
          <a:hlinkClick xmlns:r="http://schemas.openxmlformats.org/officeDocument/2006/relationships" r:id="rId2"/>
          <a:extLst>
            <a:ext uri="{FF2B5EF4-FFF2-40B4-BE49-F238E27FC236}">
              <a16:creationId xmlns:a16="http://schemas.microsoft.com/office/drawing/2014/main" id="{00000000-0008-0000-0100-000032000000}"/>
            </a:ext>
          </a:extLst>
        </xdr:cNvPr>
        <xdr:cNvGrpSpPr>
          <a:grpSpLocks noChangeAspect="1"/>
        </xdr:cNvGrpSpPr>
      </xdr:nvGrpSpPr>
      <xdr:grpSpPr bwMode="auto">
        <a:xfrm>
          <a:off x="240509" y="2292085"/>
          <a:ext cx="486000" cy="646709"/>
          <a:chOff x="952" y="162"/>
          <a:chExt cx="125" cy="125"/>
        </a:xfrm>
        <a:effectLst>
          <a:glow rad="127000">
            <a:srgbClr val="C7C703"/>
          </a:glow>
        </a:effectLst>
      </xdr:grpSpPr>
      <xdr:sp macro="[0]!Sheet1.SaveThisData" textlink="">
        <xdr:nvSpPr>
          <xdr:cNvPr id="51" name="Oval 28">
            <a:extLst>
              <a:ext uri="{FF2B5EF4-FFF2-40B4-BE49-F238E27FC236}">
                <a16:creationId xmlns:a16="http://schemas.microsoft.com/office/drawing/2014/main" id="{00000000-0008-0000-0100-000033000000}"/>
              </a:ext>
            </a:extLst>
          </xdr:cNvPr>
          <xdr:cNvSpPr>
            <a:spLocks noChangeAspect="1" noChangeArrowheads="1"/>
          </xdr:cNvSpPr>
        </xdr:nvSpPr>
        <xdr:spPr bwMode="auto">
          <a:xfrm>
            <a:off x="952" y="162"/>
            <a:ext cx="125" cy="125"/>
          </a:xfrm>
          <a:prstGeom prst="ellipse">
            <a:avLst/>
          </a:prstGeom>
          <a:gradFill rotWithShape="1">
            <a:gsLst>
              <a:gs pos="0">
                <a:srgbClr val="FFFFFF"/>
              </a:gs>
              <a:gs pos="100000">
                <a:srgbClr val="FFFFFF">
                  <a:gamma/>
                  <a:shade val="76078"/>
                  <a:invGamma/>
                </a:srgbClr>
              </a:gs>
            </a:gsLst>
            <a:lin ang="5400000" scaled="1"/>
          </a:gradFill>
          <a:ln w="28575">
            <a:noFill/>
            <a:round/>
            <a:headEnd/>
            <a:tailEnd/>
          </a:ln>
        </xdr:spPr>
      </xdr:sp>
      <xdr:sp macro="[0]!Sheet1.SaveThisData" textlink="">
        <xdr:nvSpPr>
          <xdr:cNvPr id="52" name="Oval 29">
            <a:extLst>
              <a:ext uri="{FF2B5EF4-FFF2-40B4-BE49-F238E27FC236}">
                <a16:creationId xmlns:a16="http://schemas.microsoft.com/office/drawing/2014/main" id="{00000000-0008-0000-0100-000034000000}"/>
              </a:ext>
            </a:extLst>
          </xdr:cNvPr>
          <xdr:cNvSpPr>
            <a:spLocks noChangeAspect="1" noChangeArrowheads="1"/>
          </xdr:cNvSpPr>
        </xdr:nvSpPr>
        <xdr:spPr bwMode="auto">
          <a:xfrm>
            <a:off x="961" y="171"/>
            <a:ext cx="106" cy="106"/>
          </a:xfrm>
          <a:prstGeom prst="ellipse">
            <a:avLst/>
          </a:prstGeom>
          <a:gradFill rotWithShape="1">
            <a:gsLst>
              <a:gs pos="0">
                <a:srgbClr val="FFFFFF">
                  <a:gamma/>
                  <a:shade val="76078"/>
                  <a:invGamma/>
                </a:srgbClr>
              </a:gs>
              <a:gs pos="100000">
                <a:srgbClr val="FFFFFF"/>
              </a:gs>
            </a:gsLst>
            <a:lin ang="5400000" scaled="1"/>
          </a:gradFill>
          <a:ln w="28575">
            <a:noFill/>
            <a:round/>
            <a:headEnd/>
            <a:tailEnd/>
          </a:ln>
        </xdr:spPr>
        <xdr:txBody>
          <a:bodyPr vertOverflow="clip" wrap="square" lIns="73152" tIns="27432" rIns="73152" bIns="27432" anchor="ctr" upright="1"/>
          <a:lstStyle/>
          <a:p>
            <a:pPr algn="ctr" rtl="0">
              <a:defRPr sz="1000"/>
            </a:pPr>
            <a:endParaRPr lang="en-US" sz="1400" b="1" i="0" strike="noStrike">
              <a:solidFill>
                <a:srgbClr val="969696"/>
              </a:solidFill>
              <a:latin typeface="Wingdings"/>
            </a:endParaRPr>
          </a:p>
        </xdr:txBody>
      </xdr:sp>
    </xdr:grpSp>
    <xdr:clientData fLocksWithSheet="0"/>
  </xdr:twoCellAnchor>
  <xdr:twoCellAnchor>
    <xdr:from>
      <xdr:col>1</xdr:col>
      <xdr:colOff>89696</xdr:colOff>
      <xdr:row>4</xdr:row>
      <xdr:rowOff>85460</xdr:rowOff>
    </xdr:from>
    <xdr:to>
      <xdr:col>1</xdr:col>
      <xdr:colOff>575696</xdr:colOff>
      <xdr:row>4</xdr:row>
      <xdr:rowOff>760701</xdr:rowOff>
    </xdr:to>
    <xdr:grpSp>
      <xdr:nvGrpSpPr>
        <xdr:cNvPr id="53" name="CopyData">
          <a:hlinkClick xmlns:r="http://schemas.openxmlformats.org/officeDocument/2006/relationships" r:id="rId3"/>
          <a:extLst>
            <a:ext uri="{FF2B5EF4-FFF2-40B4-BE49-F238E27FC236}">
              <a16:creationId xmlns:a16="http://schemas.microsoft.com/office/drawing/2014/main" id="{00000000-0008-0000-0100-000035000000}"/>
            </a:ext>
          </a:extLst>
        </xdr:cNvPr>
        <xdr:cNvGrpSpPr>
          <a:grpSpLocks noChangeAspect="1"/>
        </xdr:cNvGrpSpPr>
      </xdr:nvGrpSpPr>
      <xdr:grpSpPr bwMode="auto">
        <a:xfrm>
          <a:off x="240509" y="3133460"/>
          <a:ext cx="486000" cy="675241"/>
          <a:chOff x="952" y="162"/>
          <a:chExt cx="125" cy="125"/>
        </a:xfrm>
        <a:effectLst>
          <a:glow rad="127000">
            <a:srgbClr val="C7C703"/>
          </a:glow>
        </a:effectLst>
      </xdr:grpSpPr>
      <xdr:sp macro="[0]!Sheet1.SaveThisData" textlink="">
        <xdr:nvSpPr>
          <xdr:cNvPr id="54" name="Oval 28">
            <a:extLst>
              <a:ext uri="{FF2B5EF4-FFF2-40B4-BE49-F238E27FC236}">
                <a16:creationId xmlns:a16="http://schemas.microsoft.com/office/drawing/2014/main" id="{00000000-0008-0000-0100-000036000000}"/>
              </a:ext>
            </a:extLst>
          </xdr:cNvPr>
          <xdr:cNvSpPr>
            <a:spLocks noChangeAspect="1" noChangeArrowheads="1"/>
          </xdr:cNvSpPr>
        </xdr:nvSpPr>
        <xdr:spPr bwMode="auto">
          <a:xfrm>
            <a:off x="952" y="162"/>
            <a:ext cx="125" cy="125"/>
          </a:xfrm>
          <a:prstGeom prst="ellipse">
            <a:avLst/>
          </a:prstGeom>
          <a:gradFill rotWithShape="1">
            <a:gsLst>
              <a:gs pos="0">
                <a:srgbClr val="FFFFFF"/>
              </a:gs>
              <a:gs pos="100000">
                <a:srgbClr val="FFFFFF">
                  <a:gamma/>
                  <a:shade val="76078"/>
                  <a:invGamma/>
                </a:srgbClr>
              </a:gs>
            </a:gsLst>
            <a:lin ang="5400000" scaled="1"/>
          </a:gradFill>
          <a:ln w="28575">
            <a:noFill/>
            <a:round/>
            <a:headEnd/>
            <a:tailEnd/>
          </a:ln>
        </xdr:spPr>
      </xdr:sp>
      <xdr:sp macro="[0]!Sheet1.SaveThisData" textlink="">
        <xdr:nvSpPr>
          <xdr:cNvPr id="55" name="Oval 29">
            <a:extLst>
              <a:ext uri="{FF2B5EF4-FFF2-40B4-BE49-F238E27FC236}">
                <a16:creationId xmlns:a16="http://schemas.microsoft.com/office/drawing/2014/main" id="{00000000-0008-0000-0100-000037000000}"/>
              </a:ext>
            </a:extLst>
          </xdr:cNvPr>
          <xdr:cNvSpPr>
            <a:spLocks noChangeAspect="1" noChangeArrowheads="1"/>
          </xdr:cNvSpPr>
        </xdr:nvSpPr>
        <xdr:spPr bwMode="auto">
          <a:xfrm>
            <a:off x="961" y="171"/>
            <a:ext cx="106" cy="106"/>
          </a:xfrm>
          <a:prstGeom prst="ellipse">
            <a:avLst/>
          </a:prstGeom>
          <a:gradFill rotWithShape="1">
            <a:gsLst>
              <a:gs pos="0">
                <a:srgbClr val="FFFFFF">
                  <a:gamma/>
                  <a:shade val="76078"/>
                  <a:invGamma/>
                </a:srgbClr>
              </a:gs>
              <a:gs pos="100000">
                <a:srgbClr val="FFFFFF"/>
              </a:gs>
            </a:gsLst>
            <a:lin ang="5400000" scaled="1"/>
          </a:gradFill>
          <a:ln w="28575">
            <a:noFill/>
            <a:round/>
            <a:headEnd/>
            <a:tailEnd/>
          </a:ln>
        </xdr:spPr>
        <xdr:txBody>
          <a:bodyPr vertOverflow="clip" wrap="square" lIns="73152" tIns="27432" rIns="73152" bIns="27432" anchor="ctr" upright="1"/>
          <a:lstStyle/>
          <a:p>
            <a:pPr algn="ctr" rtl="0">
              <a:defRPr sz="1000"/>
            </a:pPr>
            <a:endParaRPr lang="en-US" sz="1400" b="1" i="0" strike="noStrike">
              <a:solidFill>
                <a:srgbClr val="969696"/>
              </a:solidFill>
              <a:latin typeface="Wingdings"/>
            </a:endParaRPr>
          </a:p>
        </xdr:txBody>
      </xdr:sp>
    </xdr:grpSp>
    <xdr:clientData fLocksWithSheet="0"/>
  </xdr:twoCellAnchor>
  <xdr:twoCellAnchor>
    <xdr:from>
      <xdr:col>1</xdr:col>
      <xdr:colOff>89696</xdr:colOff>
      <xdr:row>5</xdr:row>
      <xdr:rowOff>104775</xdr:rowOff>
    </xdr:from>
    <xdr:to>
      <xdr:col>1</xdr:col>
      <xdr:colOff>575696</xdr:colOff>
      <xdr:row>5</xdr:row>
      <xdr:rowOff>780016</xdr:rowOff>
    </xdr:to>
    <xdr:grpSp>
      <xdr:nvGrpSpPr>
        <xdr:cNvPr id="56" name="CopyData">
          <a:hlinkClick xmlns:r="http://schemas.openxmlformats.org/officeDocument/2006/relationships" r:id="rId4"/>
          <a:extLst>
            <a:ext uri="{FF2B5EF4-FFF2-40B4-BE49-F238E27FC236}">
              <a16:creationId xmlns:a16="http://schemas.microsoft.com/office/drawing/2014/main" id="{00000000-0008-0000-0100-000038000000}"/>
            </a:ext>
          </a:extLst>
        </xdr:cNvPr>
        <xdr:cNvGrpSpPr>
          <a:grpSpLocks noChangeAspect="1"/>
        </xdr:cNvGrpSpPr>
      </xdr:nvGrpSpPr>
      <xdr:grpSpPr bwMode="auto">
        <a:xfrm>
          <a:off x="240509" y="4041775"/>
          <a:ext cx="486000" cy="675241"/>
          <a:chOff x="952" y="162"/>
          <a:chExt cx="125" cy="125"/>
        </a:xfrm>
        <a:effectLst>
          <a:glow rad="127000">
            <a:srgbClr val="C7C703"/>
          </a:glow>
        </a:effectLst>
      </xdr:grpSpPr>
      <xdr:sp macro="[0]!Sheet1.SaveThisData" textlink="">
        <xdr:nvSpPr>
          <xdr:cNvPr id="57" name="Oval 28">
            <a:extLst>
              <a:ext uri="{FF2B5EF4-FFF2-40B4-BE49-F238E27FC236}">
                <a16:creationId xmlns:a16="http://schemas.microsoft.com/office/drawing/2014/main" id="{00000000-0008-0000-0100-000039000000}"/>
              </a:ext>
            </a:extLst>
          </xdr:cNvPr>
          <xdr:cNvSpPr>
            <a:spLocks noChangeAspect="1" noChangeArrowheads="1"/>
          </xdr:cNvSpPr>
        </xdr:nvSpPr>
        <xdr:spPr bwMode="auto">
          <a:xfrm>
            <a:off x="952" y="162"/>
            <a:ext cx="125" cy="125"/>
          </a:xfrm>
          <a:prstGeom prst="ellipse">
            <a:avLst/>
          </a:prstGeom>
          <a:gradFill rotWithShape="1">
            <a:gsLst>
              <a:gs pos="0">
                <a:srgbClr val="FFFFFF"/>
              </a:gs>
              <a:gs pos="100000">
                <a:srgbClr val="FFFFFF">
                  <a:gamma/>
                  <a:shade val="76078"/>
                  <a:invGamma/>
                </a:srgbClr>
              </a:gs>
            </a:gsLst>
            <a:lin ang="5400000" scaled="1"/>
          </a:gradFill>
          <a:ln w="28575">
            <a:noFill/>
            <a:round/>
            <a:headEnd/>
            <a:tailEnd/>
          </a:ln>
        </xdr:spPr>
      </xdr:sp>
      <xdr:sp macro="[0]!Sheet1.SaveThisData" textlink="">
        <xdr:nvSpPr>
          <xdr:cNvPr id="58" name="Oval 29">
            <a:extLst>
              <a:ext uri="{FF2B5EF4-FFF2-40B4-BE49-F238E27FC236}">
                <a16:creationId xmlns:a16="http://schemas.microsoft.com/office/drawing/2014/main" id="{00000000-0008-0000-0100-00003A000000}"/>
              </a:ext>
            </a:extLst>
          </xdr:cNvPr>
          <xdr:cNvSpPr>
            <a:spLocks noChangeAspect="1" noChangeArrowheads="1"/>
          </xdr:cNvSpPr>
        </xdr:nvSpPr>
        <xdr:spPr bwMode="auto">
          <a:xfrm>
            <a:off x="961" y="171"/>
            <a:ext cx="106" cy="106"/>
          </a:xfrm>
          <a:prstGeom prst="ellipse">
            <a:avLst/>
          </a:prstGeom>
          <a:gradFill rotWithShape="1">
            <a:gsLst>
              <a:gs pos="0">
                <a:srgbClr val="FFFFFF">
                  <a:gamma/>
                  <a:shade val="76078"/>
                  <a:invGamma/>
                </a:srgbClr>
              </a:gs>
              <a:gs pos="100000">
                <a:srgbClr val="FFFFFF"/>
              </a:gs>
            </a:gsLst>
            <a:lin ang="5400000" scaled="1"/>
          </a:gradFill>
          <a:ln w="28575">
            <a:noFill/>
            <a:round/>
            <a:headEnd/>
            <a:tailEnd/>
          </a:ln>
        </xdr:spPr>
        <xdr:txBody>
          <a:bodyPr vertOverflow="clip" wrap="square" lIns="73152" tIns="27432" rIns="73152" bIns="27432" anchor="ctr" upright="1"/>
          <a:lstStyle/>
          <a:p>
            <a:pPr algn="ctr" rtl="0">
              <a:defRPr sz="1000"/>
            </a:pPr>
            <a:endParaRPr lang="en-US" sz="1400" b="1" i="0" strike="noStrike">
              <a:solidFill>
                <a:srgbClr val="969696"/>
              </a:solidFill>
              <a:latin typeface="Wingdings"/>
            </a:endParaRPr>
          </a:p>
        </xdr:txBody>
      </xdr:sp>
    </xdr:grpSp>
    <xdr:clientData fLocksWithSheet="0"/>
  </xdr:twoCellAnchor>
  <xdr:twoCellAnchor>
    <xdr:from>
      <xdr:col>1</xdr:col>
      <xdr:colOff>89305</xdr:colOff>
      <xdr:row>6</xdr:row>
      <xdr:rowOff>85725</xdr:rowOff>
    </xdr:from>
    <xdr:to>
      <xdr:col>1</xdr:col>
      <xdr:colOff>575305</xdr:colOff>
      <xdr:row>6</xdr:row>
      <xdr:rowOff>760966</xdr:rowOff>
    </xdr:to>
    <xdr:grpSp>
      <xdr:nvGrpSpPr>
        <xdr:cNvPr id="59" name="CopyData">
          <a:hlinkClick xmlns:r="http://schemas.openxmlformats.org/officeDocument/2006/relationships" r:id="rId5"/>
          <a:extLst>
            <a:ext uri="{FF2B5EF4-FFF2-40B4-BE49-F238E27FC236}">
              <a16:creationId xmlns:a16="http://schemas.microsoft.com/office/drawing/2014/main" id="{00000000-0008-0000-0100-00003B000000}"/>
            </a:ext>
          </a:extLst>
        </xdr:cNvPr>
        <xdr:cNvGrpSpPr>
          <a:grpSpLocks noChangeAspect="1"/>
        </xdr:cNvGrpSpPr>
      </xdr:nvGrpSpPr>
      <xdr:grpSpPr bwMode="auto">
        <a:xfrm>
          <a:off x="240118" y="4911725"/>
          <a:ext cx="486000" cy="675241"/>
          <a:chOff x="952" y="162"/>
          <a:chExt cx="125" cy="125"/>
        </a:xfrm>
        <a:effectLst>
          <a:glow rad="127000">
            <a:srgbClr val="C7C703"/>
          </a:glow>
        </a:effectLst>
      </xdr:grpSpPr>
      <xdr:sp macro="[0]!Sheet1.SaveThisData" textlink="">
        <xdr:nvSpPr>
          <xdr:cNvPr id="60" name="Oval 28">
            <a:extLst>
              <a:ext uri="{FF2B5EF4-FFF2-40B4-BE49-F238E27FC236}">
                <a16:creationId xmlns:a16="http://schemas.microsoft.com/office/drawing/2014/main" id="{00000000-0008-0000-0100-00003C000000}"/>
              </a:ext>
            </a:extLst>
          </xdr:cNvPr>
          <xdr:cNvSpPr>
            <a:spLocks noChangeAspect="1" noChangeArrowheads="1"/>
          </xdr:cNvSpPr>
        </xdr:nvSpPr>
        <xdr:spPr bwMode="auto">
          <a:xfrm>
            <a:off x="952" y="162"/>
            <a:ext cx="125" cy="125"/>
          </a:xfrm>
          <a:prstGeom prst="ellipse">
            <a:avLst/>
          </a:prstGeom>
          <a:gradFill rotWithShape="1">
            <a:gsLst>
              <a:gs pos="0">
                <a:srgbClr val="FFFFFF"/>
              </a:gs>
              <a:gs pos="100000">
                <a:srgbClr val="FFFFFF">
                  <a:gamma/>
                  <a:shade val="76078"/>
                  <a:invGamma/>
                </a:srgbClr>
              </a:gs>
            </a:gsLst>
            <a:lin ang="5400000" scaled="1"/>
          </a:gradFill>
          <a:ln w="28575">
            <a:noFill/>
            <a:round/>
            <a:headEnd/>
            <a:tailEnd/>
          </a:ln>
        </xdr:spPr>
      </xdr:sp>
      <xdr:sp macro="[0]!Sheet1.SaveThisData" textlink="">
        <xdr:nvSpPr>
          <xdr:cNvPr id="61" name="Oval 29">
            <a:extLst>
              <a:ext uri="{FF2B5EF4-FFF2-40B4-BE49-F238E27FC236}">
                <a16:creationId xmlns:a16="http://schemas.microsoft.com/office/drawing/2014/main" id="{00000000-0008-0000-0100-00003D000000}"/>
              </a:ext>
            </a:extLst>
          </xdr:cNvPr>
          <xdr:cNvSpPr>
            <a:spLocks noChangeAspect="1" noChangeArrowheads="1"/>
          </xdr:cNvSpPr>
        </xdr:nvSpPr>
        <xdr:spPr bwMode="auto">
          <a:xfrm>
            <a:off x="961" y="171"/>
            <a:ext cx="106" cy="106"/>
          </a:xfrm>
          <a:prstGeom prst="ellipse">
            <a:avLst/>
          </a:prstGeom>
          <a:gradFill rotWithShape="1">
            <a:gsLst>
              <a:gs pos="0">
                <a:srgbClr val="FFFFFF">
                  <a:gamma/>
                  <a:shade val="76078"/>
                  <a:invGamma/>
                </a:srgbClr>
              </a:gs>
              <a:gs pos="100000">
                <a:srgbClr val="FFFFFF"/>
              </a:gs>
            </a:gsLst>
            <a:lin ang="5400000" scaled="1"/>
          </a:gradFill>
          <a:ln w="28575">
            <a:noFill/>
            <a:round/>
            <a:headEnd/>
            <a:tailEnd/>
          </a:ln>
        </xdr:spPr>
        <xdr:txBody>
          <a:bodyPr vertOverflow="clip" wrap="square" lIns="73152" tIns="27432" rIns="73152" bIns="27432" anchor="ctr" upright="1"/>
          <a:lstStyle/>
          <a:p>
            <a:pPr algn="ctr" rtl="0">
              <a:defRPr sz="1000"/>
            </a:pPr>
            <a:endParaRPr lang="en-US" sz="1400" b="1" i="0" strike="noStrike">
              <a:solidFill>
                <a:srgbClr val="969696"/>
              </a:solidFill>
              <a:latin typeface="Wingdings"/>
            </a:endParaRPr>
          </a:p>
        </xdr:txBody>
      </xdr:sp>
    </xdr:grpSp>
    <xdr:clientData fLocksWithSheet="0"/>
  </xdr:twoCellAnchor>
  <xdr:twoCellAnchor>
    <xdr:from>
      <xdr:col>1</xdr:col>
      <xdr:colOff>101211</xdr:colOff>
      <xdr:row>7</xdr:row>
      <xdr:rowOff>117638</xdr:rowOff>
    </xdr:from>
    <xdr:to>
      <xdr:col>1</xdr:col>
      <xdr:colOff>587211</xdr:colOff>
      <xdr:row>7</xdr:row>
      <xdr:rowOff>792879</xdr:rowOff>
    </xdr:to>
    <xdr:grpSp>
      <xdr:nvGrpSpPr>
        <xdr:cNvPr id="62" name="CopyData">
          <a:hlinkClick xmlns:r="http://schemas.openxmlformats.org/officeDocument/2006/relationships" r:id="rId6"/>
          <a:extLst>
            <a:ext uri="{FF2B5EF4-FFF2-40B4-BE49-F238E27FC236}">
              <a16:creationId xmlns:a16="http://schemas.microsoft.com/office/drawing/2014/main" id="{00000000-0008-0000-0100-00003E000000}"/>
            </a:ext>
          </a:extLst>
        </xdr:cNvPr>
        <xdr:cNvGrpSpPr>
          <a:grpSpLocks noChangeAspect="1"/>
        </xdr:cNvGrpSpPr>
      </xdr:nvGrpSpPr>
      <xdr:grpSpPr bwMode="auto">
        <a:xfrm>
          <a:off x="252024" y="5832638"/>
          <a:ext cx="486000" cy="675241"/>
          <a:chOff x="952" y="162"/>
          <a:chExt cx="125" cy="125"/>
        </a:xfrm>
        <a:effectLst>
          <a:glow rad="127000">
            <a:srgbClr val="C7C703"/>
          </a:glow>
        </a:effectLst>
      </xdr:grpSpPr>
      <xdr:sp macro="[0]!Sheet1.SaveThisData" textlink="">
        <xdr:nvSpPr>
          <xdr:cNvPr id="63" name="Oval 28">
            <a:extLst>
              <a:ext uri="{FF2B5EF4-FFF2-40B4-BE49-F238E27FC236}">
                <a16:creationId xmlns:a16="http://schemas.microsoft.com/office/drawing/2014/main" id="{00000000-0008-0000-0100-00003F000000}"/>
              </a:ext>
            </a:extLst>
          </xdr:cNvPr>
          <xdr:cNvSpPr>
            <a:spLocks noChangeAspect="1" noChangeArrowheads="1"/>
          </xdr:cNvSpPr>
        </xdr:nvSpPr>
        <xdr:spPr bwMode="auto">
          <a:xfrm>
            <a:off x="952" y="162"/>
            <a:ext cx="125" cy="125"/>
          </a:xfrm>
          <a:prstGeom prst="ellipse">
            <a:avLst/>
          </a:prstGeom>
          <a:gradFill rotWithShape="1">
            <a:gsLst>
              <a:gs pos="0">
                <a:srgbClr val="FFFFFF"/>
              </a:gs>
              <a:gs pos="100000">
                <a:srgbClr val="FFFFFF">
                  <a:gamma/>
                  <a:shade val="76078"/>
                  <a:invGamma/>
                </a:srgbClr>
              </a:gs>
            </a:gsLst>
            <a:lin ang="5400000" scaled="1"/>
          </a:gradFill>
          <a:ln w="28575">
            <a:noFill/>
            <a:round/>
            <a:headEnd/>
            <a:tailEnd/>
          </a:ln>
        </xdr:spPr>
      </xdr:sp>
      <xdr:sp macro="[0]!Sheet1.SaveThisData" textlink="">
        <xdr:nvSpPr>
          <xdr:cNvPr id="64" name="Oval 29">
            <a:extLst>
              <a:ext uri="{FF2B5EF4-FFF2-40B4-BE49-F238E27FC236}">
                <a16:creationId xmlns:a16="http://schemas.microsoft.com/office/drawing/2014/main" id="{00000000-0008-0000-0100-000040000000}"/>
              </a:ext>
            </a:extLst>
          </xdr:cNvPr>
          <xdr:cNvSpPr>
            <a:spLocks noChangeAspect="1" noChangeArrowheads="1"/>
          </xdr:cNvSpPr>
        </xdr:nvSpPr>
        <xdr:spPr bwMode="auto">
          <a:xfrm>
            <a:off x="961" y="171"/>
            <a:ext cx="106" cy="106"/>
          </a:xfrm>
          <a:prstGeom prst="ellipse">
            <a:avLst/>
          </a:prstGeom>
          <a:gradFill rotWithShape="1">
            <a:gsLst>
              <a:gs pos="0">
                <a:srgbClr val="FFFFFF">
                  <a:gamma/>
                  <a:shade val="76078"/>
                  <a:invGamma/>
                </a:srgbClr>
              </a:gs>
              <a:gs pos="100000">
                <a:srgbClr val="FFFFFF"/>
              </a:gs>
            </a:gsLst>
            <a:lin ang="5400000" scaled="1"/>
          </a:gradFill>
          <a:ln w="28575">
            <a:noFill/>
            <a:round/>
            <a:headEnd/>
            <a:tailEnd/>
          </a:ln>
        </xdr:spPr>
        <xdr:txBody>
          <a:bodyPr vertOverflow="clip" wrap="square" lIns="73152" tIns="27432" rIns="73152" bIns="27432" anchor="ctr" upright="1"/>
          <a:lstStyle/>
          <a:p>
            <a:pPr algn="ctr" rtl="0">
              <a:defRPr sz="1000"/>
            </a:pPr>
            <a:endParaRPr lang="en-US" sz="1400" b="1" i="0" strike="noStrike">
              <a:solidFill>
                <a:srgbClr val="969696"/>
              </a:solidFill>
              <a:latin typeface="Wingdings"/>
            </a:endParaRPr>
          </a:p>
        </xdr:txBody>
      </xdr:sp>
    </xdr:grpSp>
    <xdr:clientData fLocksWithSheet="0"/>
  </xdr:twoCellAnchor>
  <xdr:twoCellAnchor>
    <xdr:from>
      <xdr:col>1</xdr:col>
      <xdr:colOff>89305</xdr:colOff>
      <xdr:row>8</xdr:row>
      <xdr:rowOff>85725</xdr:rowOff>
    </xdr:from>
    <xdr:to>
      <xdr:col>1</xdr:col>
      <xdr:colOff>575305</xdr:colOff>
      <xdr:row>8</xdr:row>
      <xdr:rowOff>760966</xdr:rowOff>
    </xdr:to>
    <xdr:grpSp>
      <xdr:nvGrpSpPr>
        <xdr:cNvPr id="21" name="CopyData">
          <a:hlinkClick xmlns:r="http://schemas.openxmlformats.org/officeDocument/2006/relationships" r:id="rId7"/>
          <a:extLst>
            <a:ext uri="{FF2B5EF4-FFF2-40B4-BE49-F238E27FC236}">
              <a16:creationId xmlns:a16="http://schemas.microsoft.com/office/drawing/2014/main" id="{00000000-0008-0000-0100-000015000000}"/>
            </a:ext>
          </a:extLst>
        </xdr:cNvPr>
        <xdr:cNvGrpSpPr>
          <a:grpSpLocks noChangeAspect="1"/>
        </xdr:cNvGrpSpPr>
      </xdr:nvGrpSpPr>
      <xdr:grpSpPr bwMode="auto">
        <a:xfrm>
          <a:off x="240118" y="6689725"/>
          <a:ext cx="486000" cy="675241"/>
          <a:chOff x="952" y="162"/>
          <a:chExt cx="125" cy="125"/>
        </a:xfrm>
        <a:effectLst>
          <a:glow rad="127000">
            <a:srgbClr val="C7C703"/>
          </a:glow>
        </a:effectLst>
      </xdr:grpSpPr>
      <xdr:sp macro="[0]!Sheet1.SaveThisData" textlink="">
        <xdr:nvSpPr>
          <xdr:cNvPr id="22" name="Oval 28">
            <a:extLst>
              <a:ext uri="{FF2B5EF4-FFF2-40B4-BE49-F238E27FC236}">
                <a16:creationId xmlns:a16="http://schemas.microsoft.com/office/drawing/2014/main" id="{00000000-0008-0000-0100-000016000000}"/>
              </a:ext>
            </a:extLst>
          </xdr:cNvPr>
          <xdr:cNvSpPr>
            <a:spLocks noChangeAspect="1" noChangeArrowheads="1"/>
          </xdr:cNvSpPr>
        </xdr:nvSpPr>
        <xdr:spPr bwMode="auto">
          <a:xfrm>
            <a:off x="952" y="162"/>
            <a:ext cx="125" cy="125"/>
          </a:xfrm>
          <a:prstGeom prst="ellipse">
            <a:avLst/>
          </a:prstGeom>
          <a:gradFill rotWithShape="1">
            <a:gsLst>
              <a:gs pos="0">
                <a:srgbClr val="FFFFFF"/>
              </a:gs>
              <a:gs pos="100000">
                <a:srgbClr val="FFFFFF">
                  <a:gamma/>
                  <a:shade val="76078"/>
                  <a:invGamma/>
                </a:srgbClr>
              </a:gs>
            </a:gsLst>
            <a:lin ang="5400000" scaled="1"/>
          </a:gradFill>
          <a:ln w="28575">
            <a:noFill/>
            <a:round/>
            <a:headEnd/>
            <a:tailEnd/>
          </a:ln>
        </xdr:spPr>
      </xdr:sp>
      <xdr:sp macro="[0]!Sheet1.SaveThisData" textlink="">
        <xdr:nvSpPr>
          <xdr:cNvPr id="23" name="Oval 29">
            <a:extLst>
              <a:ext uri="{FF2B5EF4-FFF2-40B4-BE49-F238E27FC236}">
                <a16:creationId xmlns:a16="http://schemas.microsoft.com/office/drawing/2014/main" id="{00000000-0008-0000-0100-000017000000}"/>
              </a:ext>
            </a:extLst>
          </xdr:cNvPr>
          <xdr:cNvSpPr>
            <a:spLocks noChangeAspect="1" noChangeArrowheads="1"/>
          </xdr:cNvSpPr>
        </xdr:nvSpPr>
        <xdr:spPr bwMode="auto">
          <a:xfrm>
            <a:off x="961" y="171"/>
            <a:ext cx="106" cy="106"/>
          </a:xfrm>
          <a:prstGeom prst="ellipse">
            <a:avLst/>
          </a:prstGeom>
          <a:gradFill rotWithShape="1">
            <a:gsLst>
              <a:gs pos="0">
                <a:srgbClr val="FFFFFF">
                  <a:gamma/>
                  <a:shade val="76078"/>
                  <a:invGamma/>
                </a:srgbClr>
              </a:gs>
              <a:gs pos="100000">
                <a:srgbClr val="FFFFFF"/>
              </a:gs>
            </a:gsLst>
            <a:lin ang="5400000" scaled="1"/>
          </a:gradFill>
          <a:ln w="28575">
            <a:noFill/>
            <a:round/>
            <a:headEnd/>
            <a:tailEnd/>
          </a:ln>
        </xdr:spPr>
        <xdr:txBody>
          <a:bodyPr vertOverflow="clip" wrap="square" lIns="73152" tIns="27432" rIns="73152" bIns="27432" anchor="ctr" upright="1"/>
          <a:lstStyle/>
          <a:p>
            <a:pPr algn="ctr" rtl="0">
              <a:defRPr sz="1000"/>
            </a:pPr>
            <a:endParaRPr lang="en-US" sz="1400" b="1" i="0" strike="noStrike">
              <a:solidFill>
                <a:srgbClr val="969696"/>
              </a:solidFill>
              <a:latin typeface="Wingdings"/>
            </a:endParaRPr>
          </a:p>
        </xdr:txBody>
      </xdr:sp>
    </xdr:grpSp>
    <xdr:clientData fLocksWithSheet="0"/>
  </xdr:twoCellAnchor>
  <xdr:twoCellAnchor>
    <xdr:from>
      <xdr:col>1</xdr:col>
      <xdr:colOff>89305</xdr:colOff>
      <xdr:row>9</xdr:row>
      <xdr:rowOff>76200</xdr:rowOff>
    </xdr:from>
    <xdr:to>
      <xdr:col>1</xdr:col>
      <xdr:colOff>575305</xdr:colOff>
      <xdr:row>9</xdr:row>
      <xdr:rowOff>751441</xdr:rowOff>
    </xdr:to>
    <xdr:grpSp>
      <xdr:nvGrpSpPr>
        <xdr:cNvPr id="24" name="CopyData">
          <a:hlinkClick xmlns:r="http://schemas.openxmlformats.org/officeDocument/2006/relationships" r:id="rId8"/>
          <a:extLst>
            <a:ext uri="{FF2B5EF4-FFF2-40B4-BE49-F238E27FC236}">
              <a16:creationId xmlns:a16="http://schemas.microsoft.com/office/drawing/2014/main" id="{00000000-0008-0000-0100-000018000000}"/>
            </a:ext>
          </a:extLst>
        </xdr:cNvPr>
        <xdr:cNvGrpSpPr>
          <a:grpSpLocks noChangeAspect="1"/>
        </xdr:cNvGrpSpPr>
      </xdr:nvGrpSpPr>
      <xdr:grpSpPr bwMode="auto">
        <a:xfrm>
          <a:off x="240118" y="7569200"/>
          <a:ext cx="486000" cy="675241"/>
          <a:chOff x="952" y="162"/>
          <a:chExt cx="125" cy="125"/>
        </a:xfrm>
        <a:effectLst>
          <a:glow rad="127000">
            <a:srgbClr val="C7C703"/>
          </a:glow>
        </a:effectLst>
      </xdr:grpSpPr>
      <xdr:sp macro="[0]!Sheet1.SaveThisData" textlink="">
        <xdr:nvSpPr>
          <xdr:cNvPr id="25" name="Oval 28">
            <a:extLst>
              <a:ext uri="{FF2B5EF4-FFF2-40B4-BE49-F238E27FC236}">
                <a16:creationId xmlns:a16="http://schemas.microsoft.com/office/drawing/2014/main" id="{00000000-0008-0000-0100-000019000000}"/>
              </a:ext>
            </a:extLst>
          </xdr:cNvPr>
          <xdr:cNvSpPr>
            <a:spLocks noChangeAspect="1" noChangeArrowheads="1"/>
          </xdr:cNvSpPr>
        </xdr:nvSpPr>
        <xdr:spPr bwMode="auto">
          <a:xfrm>
            <a:off x="952" y="162"/>
            <a:ext cx="125" cy="125"/>
          </a:xfrm>
          <a:prstGeom prst="ellipse">
            <a:avLst/>
          </a:prstGeom>
          <a:gradFill rotWithShape="1">
            <a:gsLst>
              <a:gs pos="0">
                <a:srgbClr val="FFFFFF"/>
              </a:gs>
              <a:gs pos="100000">
                <a:srgbClr val="FFFFFF">
                  <a:gamma/>
                  <a:shade val="76078"/>
                  <a:invGamma/>
                </a:srgbClr>
              </a:gs>
            </a:gsLst>
            <a:lin ang="5400000" scaled="1"/>
          </a:gradFill>
          <a:ln w="28575">
            <a:noFill/>
            <a:round/>
            <a:headEnd/>
            <a:tailEnd/>
          </a:ln>
        </xdr:spPr>
      </xdr:sp>
      <xdr:sp macro="[0]!Sheet1.SaveThisData" textlink="">
        <xdr:nvSpPr>
          <xdr:cNvPr id="26" name="Oval 29">
            <a:extLst>
              <a:ext uri="{FF2B5EF4-FFF2-40B4-BE49-F238E27FC236}">
                <a16:creationId xmlns:a16="http://schemas.microsoft.com/office/drawing/2014/main" id="{00000000-0008-0000-0100-00001A000000}"/>
              </a:ext>
            </a:extLst>
          </xdr:cNvPr>
          <xdr:cNvSpPr>
            <a:spLocks noChangeAspect="1" noChangeArrowheads="1"/>
          </xdr:cNvSpPr>
        </xdr:nvSpPr>
        <xdr:spPr bwMode="auto">
          <a:xfrm>
            <a:off x="961" y="171"/>
            <a:ext cx="106" cy="106"/>
          </a:xfrm>
          <a:prstGeom prst="ellipse">
            <a:avLst/>
          </a:prstGeom>
          <a:gradFill rotWithShape="1">
            <a:gsLst>
              <a:gs pos="0">
                <a:srgbClr val="FFFFFF">
                  <a:gamma/>
                  <a:shade val="76078"/>
                  <a:invGamma/>
                </a:srgbClr>
              </a:gs>
              <a:gs pos="100000">
                <a:srgbClr val="FFFFFF"/>
              </a:gs>
            </a:gsLst>
            <a:lin ang="5400000" scaled="1"/>
          </a:gradFill>
          <a:ln w="28575">
            <a:noFill/>
            <a:round/>
            <a:headEnd/>
            <a:tailEnd/>
          </a:ln>
        </xdr:spPr>
        <xdr:txBody>
          <a:bodyPr vertOverflow="clip" wrap="square" lIns="73152" tIns="27432" rIns="73152" bIns="27432" anchor="ctr" upright="1"/>
          <a:lstStyle/>
          <a:p>
            <a:pPr algn="ctr" rtl="0">
              <a:defRPr sz="1000"/>
            </a:pPr>
            <a:endParaRPr lang="en-US" sz="1400" b="1" i="0" strike="noStrike">
              <a:solidFill>
                <a:srgbClr val="969696"/>
              </a:solidFill>
              <a:latin typeface="Wingdings"/>
            </a:endParaRPr>
          </a:p>
        </xdr:txBody>
      </xdr:sp>
    </xdr:grpSp>
    <xdr:clientData fLocksWithSheet="0"/>
  </xdr:twoCellAnchor>
  <xdr:twoCellAnchor>
    <xdr:from>
      <xdr:col>1</xdr:col>
      <xdr:colOff>95258</xdr:colOff>
      <xdr:row>10</xdr:row>
      <xdr:rowOff>82813</xdr:rowOff>
    </xdr:from>
    <xdr:to>
      <xdr:col>1</xdr:col>
      <xdr:colOff>581258</xdr:colOff>
      <xdr:row>10</xdr:row>
      <xdr:rowOff>758054</xdr:rowOff>
    </xdr:to>
    <xdr:grpSp>
      <xdr:nvGrpSpPr>
        <xdr:cNvPr id="27" name="CopyData">
          <a:hlinkClick xmlns:r="http://schemas.openxmlformats.org/officeDocument/2006/relationships" r:id="rId9"/>
          <a:extLst>
            <a:ext uri="{FF2B5EF4-FFF2-40B4-BE49-F238E27FC236}">
              <a16:creationId xmlns:a16="http://schemas.microsoft.com/office/drawing/2014/main" id="{00000000-0008-0000-0100-00001B000000}"/>
            </a:ext>
          </a:extLst>
        </xdr:cNvPr>
        <xdr:cNvGrpSpPr>
          <a:grpSpLocks noChangeAspect="1"/>
        </xdr:cNvGrpSpPr>
      </xdr:nvGrpSpPr>
      <xdr:grpSpPr bwMode="auto">
        <a:xfrm>
          <a:off x="246071" y="8464813"/>
          <a:ext cx="486000" cy="675241"/>
          <a:chOff x="952" y="162"/>
          <a:chExt cx="125" cy="125"/>
        </a:xfrm>
        <a:effectLst>
          <a:glow rad="127000">
            <a:srgbClr val="C7C703"/>
          </a:glow>
        </a:effectLst>
      </xdr:grpSpPr>
      <xdr:sp macro="[0]!Sheet1.SaveThisData" textlink="">
        <xdr:nvSpPr>
          <xdr:cNvPr id="28" name="Oval 28">
            <a:extLst>
              <a:ext uri="{FF2B5EF4-FFF2-40B4-BE49-F238E27FC236}">
                <a16:creationId xmlns:a16="http://schemas.microsoft.com/office/drawing/2014/main" id="{00000000-0008-0000-0100-00001C000000}"/>
              </a:ext>
            </a:extLst>
          </xdr:cNvPr>
          <xdr:cNvSpPr>
            <a:spLocks noChangeAspect="1" noChangeArrowheads="1"/>
          </xdr:cNvSpPr>
        </xdr:nvSpPr>
        <xdr:spPr bwMode="auto">
          <a:xfrm>
            <a:off x="952" y="162"/>
            <a:ext cx="125" cy="125"/>
          </a:xfrm>
          <a:prstGeom prst="ellipse">
            <a:avLst/>
          </a:prstGeom>
          <a:gradFill rotWithShape="1">
            <a:gsLst>
              <a:gs pos="0">
                <a:srgbClr val="FFFFFF"/>
              </a:gs>
              <a:gs pos="100000">
                <a:srgbClr val="FFFFFF">
                  <a:gamma/>
                  <a:shade val="76078"/>
                  <a:invGamma/>
                </a:srgbClr>
              </a:gs>
            </a:gsLst>
            <a:lin ang="5400000" scaled="1"/>
          </a:gradFill>
          <a:ln w="28575">
            <a:noFill/>
            <a:round/>
            <a:headEnd/>
            <a:tailEnd/>
          </a:ln>
        </xdr:spPr>
      </xdr:sp>
      <xdr:sp macro="[0]!Sheet1.SaveThisData" textlink="">
        <xdr:nvSpPr>
          <xdr:cNvPr id="29" name="Oval 29">
            <a:extLst>
              <a:ext uri="{FF2B5EF4-FFF2-40B4-BE49-F238E27FC236}">
                <a16:creationId xmlns:a16="http://schemas.microsoft.com/office/drawing/2014/main" id="{00000000-0008-0000-0100-00001D000000}"/>
              </a:ext>
            </a:extLst>
          </xdr:cNvPr>
          <xdr:cNvSpPr>
            <a:spLocks noChangeAspect="1" noChangeArrowheads="1"/>
          </xdr:cNvSpPr>
        </xdr:nvSpPr>
        <xdr:spPr bwMode="auto">
          <a:xfrm>
            <a:off x="961" y="171"/>
            <a:ext cx="106" cy="106"/>
          </a:xfrm>
          <a:prstGeom prst="ellipse">
            <a:avLst/>
          </a:prstGeom>
          <a:gradFill rotWithShape="1">
            <a:gsLst>
              <a:gs pos="0">
                <a:srgbClr val="FFFFFF">
                  <a:gamma/>
                  <a:shade val="76078"/>
                  <a:invGamma/>
                </a:srgbClr>
              </a:gs>
              <a:gs pos="100000">
                <a:srgbClr val="FFFFFF"/>
              </a:gs>
            </a:gsLst>
            <a:lin ang="5400000" scaled="1"/>
          </a:gradFill>
          <a:ln w="28575">
            <a:noFill/>
            <a:round/>
            <a:headEnd/>
            <a:tailEnd/>
          </a:ln>
        </xdr:spPr>
        <xdr:txBody>
          <a:bodyPr vertOverflow="clip" wrap="square" lIns="73152" tIns="27432" rIns="73152" bIns="27432" anchor="ctr" upright="1"/>
          <a:lstStyle/>
          <a:p>
            <a:pPr algn="ctr" rtl="0">
              <a:defRPr sz="1000"/>
            </a:pPr>
            <a:endParaRPr lang="en-US" sz="1400" b="1" i="0" strike="noStrike">
              <a:solidFill>
                <a:srgbClr val="969696"/>
              </a:solidFill>
              <a:latin typeface="Wingdings"/>
            </a:endParaRPr>
          </a:p>
        </xdr:txBody>
      </xdr:sp>
    </xdr:grpSp>
    <xdr:clientData fLocksWithSheet="0"/>
  </xdr:twoCellAnchor>
  <xdr:twoCellAnchor>
    <xdr:from>
      <xdr:col>1</xdr:col>
      <xdr:colOff>95258</xdr:colOff>
      <xdr:row>11</xdr:row>
      <xdr:rowOff>83871</xdr:rowOff>
    </xdr:from>
    <xdr:to>
      <xdr:col>1</xdr:col>
      <xdr:colOff>581258</xdr:colOff>
      <xdr:row>11</xdr:row>
      <xdr:rowOff>759112</xdr:rowOff>
    </xdr:to>
    <xdr:grpSp>
      <xdr:nvGrpSpPr>
        <xdr:cNvPr id="40" name="CopyData">
          <a:hlinkClick xmlns:r="http://schemas.openxmlformats.org/officeDocument/2006/relationships" r:id="rId10"/>
          <a:extLst>
            <a:ext uri="{FF2B5EF4-FFF2-40B4-BE49-F238E27FC236}">
              <a16:creationId xmlns:a16="http://schemas.microsoft.com/office/drawing/2014/main" id="{00000000-0008-0000-0100-000028000000}"/>
            </a:ext>
          </a:extLst>
        </xdr:cNvPr>
        <xdr:cNvGrpSpPr>
          <a:grpSpLocks noChangeAspect="1"/>
        </xdr:cNvGrpSpPr>
      </xdr:nvGrpSpPr>
      <xdr:grpSpPr bwMode="auto">
        <a:xfrm>
          <a:off x="246071" y="9354871"/>
          <a:ext cx="486000" cy="675241"/>
          <a:chOff x="952" y="162"/>
          <a:chExt cx="125" cy="125"/>
        </a:xfrm>
        <a:effectLst>
          <a:glow rad="127000">
            <a:srgbClr val="C7C703"/>
          </a:glow>
        </a:effectLst>
      </xdr:grpSpPr>
      <xdr:sp macro="[0]!Sheet1.SaveThisData" textlink="">
        <xdr:nvSpPr>
          <xdr:cNvPr id="41" name="Oval 28">
            <a:extLst>
              <a:ext uri="{FF2B5EF4-FFF2-40B4-BE49-F238E27FC236}">
                <a16:creationId xmlns:a16="http://schemas.microsoft.com/office/drawing/2014/main" id="{00000000-0008-0000-0100-000029000000}"/>
              </a:ext>
            </a:extLst>
          </xdr:cNvPr>
          <xdr:cNvSpPr>
            <a:spLocks noChangeAspect="1" noChangeArrowheads="1"/>
          </xdr:cNvSpPr>
        </xdr:nvSpPr>
        <xdr:spPr bwMode="auto">
          <a:xfrm>
            <a:off x="952" y="162"/>
            <a:ext cx="125" cy="125"/>
          </a:xfrm>
          <a:prstGeom prst="ellipse">
            <a:avLst/>
          </a:prstGeom>
          <a:gradFill rotWithShape="1">
            <a:gsLst>
              <a:gs pos="0">
                <a:srgbClr val="FFFFFF"/>
              </a:gs>
              <a:gs pos="100000">
                <a:srgbClr val="FFFFFF">
                  <a:gamma/>
                  <a:shade val="76078"/>
                  <a:invGamma/>
                </a:srgbClr>
              </a:gs>
            </a:gsLst>
            <a:lin ang="5400000" scaled="1"/>
          </a:gradFill>
          <a:ln w="28575">
            <a:noFill/>
            <a:round/>
            <a:headEnd/>
            <a:tailEnd/>
          </a:ln>
        </xdr:spPr>
      </xdr:sp>
      <xdr:sp macro="[0]!Sheet1.SaveThisData" textlink="">
        <xdr:nvSpPr>
          <xdr:cNvPr id="42" name="Oval 29">
            <a:extLst>
              <a:ext uri="{FF2B5EF4-FFF2-40B4-BE49-F238E27FC236}">
                <a16:creationId xmlns:a16="http://schemas.microsoft.com/office/drawing/2014/main" id="{00000000-0008-0000-0100-00002A000000}"/>
              </a:ext>
            </a:extLst>
          </xdr:cNvPr>
          <xdr:cNvSpPr>
            <a:spLocks noChangeAspect="1" noChangeArrowheads="1"/>
          </xdr:cNvSpPr>
        </xdr:nvSpPr>
        <xdr:spPr bwMode="auto">
          <a:xfrm>
            <a:off x="961" y="171"/>
            <a:ext cx="106" cy="106"/>
          </a:xfrm>
          <a:prstGeom prst="ellipse">
            <a:avLst/>
          </a:prstGeom>
          <a:gradFill rotWithShape="1">
            <a:gsLst>
              <a:gs pos="0">
                <a:srgbClr val="FFFFFF">
                  <a:gamma/>
                  <a:shade val="76078"/>
                  <a:invGamma/>
                </a:srgbClr>
              </a:gs>
              <a:gs pos="100000">
                <a:srgbClr val="FFFFFF"/>
              </a:gs>
            </a:gsLst>
            <a:lin ang="5400000" scaled="1"/>
          </a:gradFill>
          <a:ln w="28575">
            <a:noFill/>
            <a:round/>
            <a:headEnd/>
            <a:tailEnd/>
          </a:ln>
        </xdr:spPr>
        <xdr:txBody>
          <a:bodyPr vertOverflow="clip" wrap="square" lIns="73152" tIns="27432" rIns="73152" bIns="27432" anchor="ctr" upright="1"/>
          <a:lstStyle/>
          <a:p>
            <a:pPr algn="ctr" rtl="0">
              <a:defRPr sz="1000"/>
            </a:pPr>
            <a:endParaRPr lang="en-US" sz="1400" b="1" i="0" strike="noStrike">
              <a:solidFill>
                <a:srgbClr val="969696"/>
              </a:solidFill>
              <a:latin typeface="Wingdings"/>
            </a:endParaRPr>
          </a:p>
        </xdr:txBody>
      </xdr:sp>
    </xdr:grpSp>
    <xdr:clientData fLocksWithSheet="0"/>
  </xdr:twoCellAnchor>
  <xdr:twoCellAnchor>
    <xdr:from>
      <xdr:col>1</xdr:col>
      <xdr:colOff>95258</xdr:colOff>
      <xdr:row>12</xdr:row>
      <xdr:rowOff>119060</xdr:rowOff>
    </xdr:from>
    <xdr:to>
      <xdr:col>1</xdr:col>
      <xdr:colOff>581258</xdr:colOff>
      <xdr:row>12</xdr:row>
      <xdr:rowOff>794301</xdr:rowOff>
    </xdr:to>
    <xdr:grpSp>
      <xdr:nvGrpSpPr>
        <xdr:cNvPr id="43" name="CopyData">
          <a:hlinkClick xmlns:r="http://schemas.openxmlformats.org/officeDocument/2006/relationships" r:id="rId11"/>
          <a:extLst>
            <a:ext uri="{FF2B5EF4-FFF2-40B4-BE49-F238E27FC236}">
              <a16:creationId xmlns:a16="http://schemas.microsoft.com/office/drawing/2014/main" id="{00000000-0008-0000-0100-00002B000000}"/>
            </a:ext>
          </a:extLst>
        </xdr:cNvPr>
        <xdr:cNvGrpSpPr>
          <a:grpSpLocks noChangeAspect="1"/>
        </xdr:cNvGrpSpPr>
      </xdr:nvGrpSpPr>
      <xdr:grpSpPr bwMode="auto">
        <a:xfrm>
          <a:off x="246071" y="10279060"/>
          <a:ext cx="486000" cy="675241"/>
          <a:chOff x="952" y="162"/>
          <a:chExt cx="125" cy="125"/>
        </a:xfrm>
        <a:effectLst>
          <a:glow rad="127000">
            <a:srgbClr val="C7C703"/>
          </a:glow>
        </a:effectLst>
      </xdr:grpSpPr>
      <xdr:sp macro="[0]!Sheet1.SaveThisData" textlink="">
        <xdr:nvSpPr>
          <xdr:cNvPr id="44" name="Oval 28">
            <a:extLst>
              <a:ext uri="{FF2B5EF4-FFF2-40B4-BE49-F238E27FC236}">
                <a16:creationId xmlns:a16="http://schemas.microsoft.com/office/drawing/2014/main" id="{00000000-0008-0000-0100-00002C000000}"/>
              </a:ext>
            </a:extLst>
          </xdr:cNvPr>
          <xdr:cNvSpPr>
            <a:spLocks noChangeAspect="1" noChangeArrowheads="1"/>
          </xdr:cNvSpPr>
        </xdr:nvSpPr>
        <xdr:spPr bwMode="auto">
          <a:xfrm>
            <a:off x="952" y="162"/>
            <a:ext cx="125" cy="125"/>
          </a:xfrm>
          <a:prstGeom prst="ellipse">
            <a:avLst/>
          </a:prstGeom>
          <a:gradFill rotWithShape="1">
            <a:gsLst>
              <a:gs pos="0">
                <a:srgbClr val="FFFFFF"/>
              </a:gs>
              <a:gs pos="100000">
                <a:srgbClr val="FFFFFF">
                  <a:gamma/>
                  <a:shade val="76078"/>
                  <a:invGamma/>
                </a:srgbClr>
              </a:gs>
            </a:gsLst>
            <a:lin ang="5400000" scaled="1"/>
          </a:gradFill>
          <a:ln w="28575">
            <a:noFill/>
            <a:round/>
            <a:headEnd/>
            <a:tailEnd/>
          </a:ln>
        </xdr:spPr>
      </xdr:sp>
      <xdr:sp macro="[0]!Sheet1.SaveThisData" textlink="">
        <xdr:nvSpPr>
          <xdr:cNvPr id="45" name="Oval 29">
            <a:extLst>
              <a:ext uri="{FF2B5EF4-FFF2-40B4-BE49-F238E27FC236}">
                <a16:creationId xmlns:a16="http://schemas.microsoft.com/office/drawing/2014/main" id="{00000000-0008-0000-0100-00002D000000}"/>
              </a:ext>
            </a:extLst>
          </xdr:cNvPr>
          <xdr:cNvSpPr>
            <a:spLocks noChangeAspect="1" noChangeArrowheads="1"/>
          </xdr:cNvSpPr>
        </xdr:nvSpPr>
        <xdr:spPr bwMode="auto">
          <a:xfrm>
            <a:off x="961" y="171"/>
            <a:ext cx="106" cy="106"/>
          </a:xfrm>
          <a:prstGeom prst="ellipse">
            <a:avLst/>
          </a:prstGeom>
          <a:gradFill rotWithShape="1">
            <a:gsLst>
              <a:gs pos="0">
                <a:srgbClr val="FFFFFF">
                  <a:gamma/>
                  <a:shade val="76078"/>
                  <a:invGamma/>
                </a:srgbClr>
              </a:gs>
              <a:gs pos="100000">
                <a:srgbClr val="FFFFFF"/>
              </a:gs>
            </a:gsLst>
            <a:lin ang="5400000" scaled="1"/>
          </a:gradFill>
          <a:ln w="28575">
            <a:noFill/>
            <a:round/>
            <a:headEnd/>
            <a:tailEnd/>
          </a:ln>
        </xdr:spPr>
        <xdr:txBody>
          <a:bodyPr vertOverflow="clip" wrap="square" lIns="73152" tIns="27432" rIns="73152" bIns="27432" anchor="ctr" upright="1"/>
          <a:lstStyle/>
          <a:p>
            <a:pPr algn="ctr" rtl="0">
              <a:defRPr sz="1000"/>
            </a:pPr>
            <a:endParaRPr lang="en-US" sz="1400" b="1" i="0" strike="noStrike">
              <a:solidFill>
                <a:srgbClr val="969696"/>
              </a:solidFill>
              <a:latin typeface="Wingdings"/>
            </a:endParaRPr>
          </a:p>
        </xdr:txBody>
      </xdr:sp>
    </xdr:grpSp>
    <xdr:clientData fLocksWithSheet="0"/>
  </xdr:twoCellAnchor>
  <xdr:twoCellAnchor>
    <xdr:from>
      <xdr:col>1</xdr:col>
      <xdr:colOff>101211</xdr:colOff>
      <xdr:row>13</xdr:row>
      <xdr:rowOff>508001</xdr:rowOff>
    </xdr:from>
    <xdr:to>
      <xdr:col>1</xdr:col>
      <xdr:colOff>587211</xdr:colOff>
      <xdr:row>13</xdr:row>
      <xdr:rowOff>1321925</xdr:rowOff>
    </xdr:to>
    <xdr:grpSp>
      <xdr:nvGrpSpPr>
        <xdr:cNvPr id="36" name="CopyData">
          <a:hlinkClick xmlns:r="http://schemas.openxmlformats.org/officeDocument/2006/relationships" r:id="rId12"/>
          <a:extLst>
            <a:ext uri="{FF2B5EF4-FFF2-40B4-BE49-F238E27FC236}">
              <a16:creationId xmlns:a16="http://schemas.microsoft.com/office/drawing/2014/main" id="{00000000-0008-0000-0100-000024000000}"/>
            </a:ext>
          </a:extLst>
        </xdr:cNvPr>
        <xdr:cNvGrpSpPr>
          <a:grpSpLocks noChangeAspect="1"/>
        </xdr:cNvGrpSpPr>
      </xdr:nvGrpSpPr>
      <xdr:grpSpPr bwMode="auto">
        <a:xfrm>
          <a:off x="252024" y="11557001"/>
          <a:ext cx="486000" cy="813924"/>
          <a:chOff x="952" y="162"/>
          <a:chExt cx="125" cy="125"/>
        </a:xfrm>
        <a:effectLst>
          <a:glow rad="127000">
            <a:srgbClr val="C7C703"/>
          </a:glow>
        </a:effectLst>
      </xdr:grpSpPr>
      <xdr:sp macro="[0]!Sheet1.SaveThisData" textlink="">
        <xdr:nvSpPr>
          <xdr:cNvPr id="38" name="Oval 28">
            <a:extLst>
              <a:ext uri="{FF2B5EF4-FFF2-40B4-BE49-F238E27FC236}">
                <a16:creationId xmlns:a16="http://schemas.microsoft.com/office/drawing/2014/main" id="{00000000-0008-0000-0100-000026000000}"/>
              </a:ext>
            </a:extLst>
          </xdr:cNvPr>
          <xdr:cNvSpPr>
            <a:spLocks noChangeAspect="1" noChangeArrowheads="1"/>
          </xdr:cNvSpPr>
        </xdr:nvSpPr>
        <xdr:spPr bwMode="auto">
          <a:xfrm>
            <a:off x="952" y="162"/>
            <a:ext cx="125" cy="125"/>
          </a:xfrm>
          <a:prstGeom prst="ellipse">
            <a:avLst/>
          </a:prstGeom>
          <a:gradFill rotWithShape="1">
            <a:gsLst>
              <a:gs pos="0">
                <a:srgbClr val="FFFFFF"/>
              </a:gs>
              <a:gs pos="100000">
                <a:srgbClr val="FFFFFF">
                  <a:gamma/>
                  <a:shade val="76078"/>
                  <a:invGamma/>
                </a:srgbClr>
              </a:gs>
            </a:gsLst>
            <a:lin ang="5400000" scaled="1"/>
          </a:gradFill>
          <a:ln w="28575">
            <a:noFill/>
            <a:round/>
            <a:headEnd/>
            <a:tailEnd/>
          </a:ln>
        </xdr:spPr>
      </xdr:sp>
      <xdr:sp macro="[0]!Sheet1.SaveThisData" textlink="">
        <xdr:nvSpPr>
          <xdr:cNvPr id="39" name="Oval 29">
            <a:extLst>
              <a:ext uri="{FF2B5EF4-FFF2-40B4-BE49-F238E27FC236}">
                <a16:creationId xmlns:a16="http://schemas.microsoft.com/office/drawing/2014/main" id="{00000000-0008-0000-0100-000027000000}"/>
              </a:ext>
            </a:extLst>
          </xdr:cNvPr>
          <xdr:cNvSpPr>
            <a:spLocks noChangeAspect="1" noChangeArrowheads="1"/>
          </xdr:cNvSpPr>
        </xdr:nvSpPr>
        <xdr:spPr bwMode="auto">
          <a:xfrm>
            <a:off x="961" y="171"/>
            <a:ext cx="106" cy="106"/>
          </a:xfrm>
          <a:prstGeom prst="ellipse">
            <a:avLst/>
          </a:prstGeom>
          <a:gradFill rotWithShape="1">
            <a:gsLst>
              <a:gs pos="0">
                <a:srgbClr val="FFFFFF">
                  <a:gamma/>
                  <a:shade val="76078"/>
                  <a:invGamma/>
                </a:srgbClr>
              </a:gs>
              <a:gs pos="100000">
                <a:srgbClr val="FFFFFF"/>
              </a:gs>
            </a:gsLst>
            <a:lin ang="5400000" scaled="1"/>
          </a:gradFill>
          <a:ln w="28575">
            <a:noFill/>
            <a:round/>
            <a:headEnd/>
            <a:tailEnd/>
          </a:ln>
        </xdr:spPr>
        <xdr:txBody>
          <a:bodyPr vertOverflow="clip" wrap="square" lIns="73152" tIns="27432" rIns="73152" bIns="27432" anchor="ctr" upright="1"/>
          <a:lstStyle/>
          <a:p>
            <a:pPr algn="ctr" rtl="0">
              <a:defRPr sz="1000"/>
            </a:pPr>
            <a:endParaRPr lang="en-US" sz="1400" b="1" i="0" strike="noStrike">
              <a:solidFill>
                <a:srgbClr val="969696"/>
              </a:solidFill>
              <a:latin typeface="Wingdings"/>
            </a:endParaRPr>
          </a:p>
        </xdr:txBody>
      </xdr:sp>
    </xdr:grpSp>
    <xdr:clientData fLocksWithSheet="0"/>
  </xdr:twoCellAnchor>
  <xdr:twoCellAnchor>
    <xdr:from>
      <xdr:col>1</xdr:col>
      <xdr:colOff>101211</xdr:colOff>
      <xdr:row>14</xdr:row>
      <xdr:rowOff>119060</xdr:rowOff>
    </xdr:from>
    <xdr:to>
      <xdr:col>1</xdr:col>
      <xdr:colOff>587211</xdr:colOff>
      <xdr:row>14</xdr:row>
      <xdr:rowOff>794301</xdr:rowOff>
    </xdr:to>
    <xdr:grpSp>
      <xdr:nvGrpSpPr>
        <xdr:cNvPr id="49" name="CopyData">
          <a:hlinkClick xmlns:r="http://schemas.openxmlformats.org/officeDocument/2006/relationships" r:id="rId13"/>
          <a:extLst>
            <a:ext uri="{FF2B5EF4-FFF2-40B4-BE49-F238E27FC236}">
              <a16:creationId xmlns:a16="http://schemas.microsoft.com/office/drawing/2014/main" id="{00000000-0008-0000-0100-000031000000}"/>
            </a:ext>
          </a:extLst>
        </xdr:cNvPr>
        <xdr:cNvGrpSpPr>
          <a:grpSpLocks noChangeAspect="1"/>
        </xdr:cNvGrpSpPr>
      </xdr:nvGrpSpPr>
      <xdr:grpSpPr bwMode="auto">
        <a:xfrm>
          <a:off x="252024" y="13493748"/>
          <a:ext cx="486000" cy="675241"/>
          <a:chOff x="952" y="162"/>
          <a:chExt cx="125" cy="125"/>
        </a:xfrm>
        <a:effectLst>
          <a:glow rad="127000">
            <a:srgbClr val="C7C703"/>
          </a:glow>
        </a:effectLst>
      </xdr:grpSpPr>
      <xdr:sp macro="[0]!Sheet1.SaveThisData" textlink="">
        <xdr:nvSpPr>
          <xdr:cNvPr id="65" name="Oval 28">
            <a:extLst>
              <a:ext uri="{FF2B5EF4-FFF2-40B4-BE49-F238E27FC236}">
                <a16:creationId xmlns:a16="http://schemas.microsoft.com/office/drawing/2014/main" id="{00000000-0008-0000-0100-000041000000}"/>
              </a:ext>
            </a:extLst>
          </xdr:cNvPr>
          <xdr:cNvSpPr>
            <a:spLocks noChangeAspect="1" noChangeArrowheads="1"/>
          </xdr:cNvSpPr>
        </xdr:nvSpPr>
        <xdr:spPr bwMode="auto">
          <a:xfrm>
            <a:off x="952" y="162"/>
            <a:ext cx="125" cy="125"/>
          </a:xfrm>
          <a:prstGeom prst="ellipse">
            <a:avLst/>
          </a:prstGeom>
          <a:gradFill rotWithShape="1">
            <a:gsLst>
              <a:gs pos="0">
                <a:srgbClr val="FFFFFF"/>
              </a:gs>
              <a:gs pos="100000">
                <a:srgbClr val="FFFFFF">
                  <a:gamma/>
                  <a:shade val="76078"/>
                  <a:invGamma/>
                </a:srgbClr>
              </a:gs>
            </a:gsLst>
            <a:lin ang="5400000" scaled="1"/>
          </a:gradFill>
          <a:ln w="28575">
            <a:noFill/>
            <a:round/>
            <a:headEnd/>
            <a:tailEnd/>
          </a:ln>
        </xdr:spPr>
      </xdr:sp>
      <xdr:sp macro="[0]!Sheet1.SaveThisData" textlink="">
        <xdr:nvSpPr>
          <xdr:cNvPr id="66" name="Oval 29">
            <a:extLst>
              <a:ext uri="{FF2B5EF4-FFF2-40B4-BE49-F238E27FC236}">
                <a16:creationId xmlns:a16="http://schemas.microsoft.com/office/drawing/2014/main" id="{00000000-0008-0000-0100-000042000000}"/>
              </a:ext>
            </a:extLst>
          </xdr:cNvPr>
          <xdr:cNvSpPr>
            <a:spLocks noChangeAspect="1" noChangeArrowheads="1"/>
          </xdr:cNvSpPr>
        </xdr:nvSpPr>
        <xdr:spPr bwMode="auto">
          <a:xfrm>
            <a:off x="961" y="171"/>
            <a:ext cx="106" cy="106"/>
          </a:xfrm>
          <a:prstGeom prst="ellipse">
            <a:avLst/>
          </a:prstGeom>
          <a:gradFill rotWithShape="1">
            <a:gsLst>
              <a:gs pos="0">
                <a:srgbClr val="FFFFFF">
                  <a:gamma/>
                  <a:shade val="76078"/>
                  <a:invGamma/>
                </a:srgbClr>
              </a:gs>
              <a:gs pos="100000">
                <a:srgbClr val="FFFFFF"/>
              </a:gs>
            </a:gsLst>
            <a:lin ang="5400000" scaled="1"/>
          </a:gradFill>
          <a:ln w="28575">
            <a:noFill/>
            <a:round/>
            <a:headEnd/>
            <a:tailEnd/>
          </a:ln>
        </xdr:spPr>
        <xdr:txBody>
          <a:bodyPr vertOverflow="clip" wrap="square" lIns="73152" tIns="27432" rIns="73152" bIns="27432" anchor="ctr" upright="1"/>
          <a:lstStyle/>
          <a:p>
            <a:pPr algn="ctr" rtl="0">
              <a:defRPr sz="1000"/>
            </a:pPr>
            <a:endParaRPr lang="en-US" sz="1400" b="1" i="0" strike="noStrike">
              <a:solidFill>
                <a:srgbClr val="969696"/>
              </a:solidFill>
              <a:latin typeface="Wingdings"/>
            </a:endParaRPr>
          </a:p>
        </xdr:txBody>
      </xdr:sp>
    </xdr:grpSp>
    <xdr:clientData fLocksWithSheet="0"/>
  </xdr:twoCellAnchor>
  <xdr:twoCellAnchor>
    <xdr:from>
      <xdr:col>1</xdr:col>
      <xdr:colOff>101211</xdr:colOff>
      <xdr:row>15</xdr:row>
      <xdr:rowOff>119059</xdr:rowOff>
    </xdr:from>
    <xdr:to>
      <xdr:col>1</xdr:col>
      <xdr:colOff>587211</xdr:colOff>
      <xdr:row>15</xdr:row>
      <xdr:rowOff>768475</xdr:rowOff>
    </xdr:to>
    <xdr:grpSp>
      <xdr:nvGrpSpPr>
        <xdr:cNvPr id="47" name="CopyData">
          <a:hlinkClick xmlns:r="http://schemas.openxmlformats.org/officeDocument/2006/relationships" r:id="rId14"/>
          <a:extLst>
            <a:ext uri="{FF2B5EF4-FFF2-40B4-BE49-F238E27FC236}">
              <a16:creationId xmlns:a16="http://schemas.microsoft.com/office/drawing/2014/main" id="{00000000-0008-0000-0100-00002F000000}"/>
            </a:ext>
          </a:extLst>
        </xdr:cNvPr>
        <xdr:cNvGrpSpPr>
          <a:grpSpLocks noChangeAspect="1"/>
        </xdr:cNvGrpSpPr>
      </xdr:nvGrpSpPr>
      <xdr:grpSpPr bwMode="auto">
        <a:xfrm>
          <a:off x="252024" y="14382747"/>
          <a:ext cx="486000" cy="649416"/>
          <a:chOff x="952" y="162"/>
          <a:chExt cx="125" cy="125"/>
        </a:xfrm>
        <a:effectLst>
          <a:glow rad="127000">
            <a:srgbClr val="C7C703"/>
          </a:glow>
        </a:effectLst>
      </xdr:grpSpPr>
      <xdr:sp macro="[0]!Sheet1.SaveThisData" textlink="">
        <xdr:nvSpPr>
          <xdr:cNvPr id="48" name="Oval 28">
            <a:extLst>
              <a:ext uri="{FF2B5EF4-FFF2-40B4-BE49-F238E27FC236}">
                <a16:creationId xmlns:a16="http://schemas.microsoft.com/office/drawing/2014/main" id="{00000000-0008-0000-0100-000030000000}"/>
              </a:ext>
            </a:extLst>
          </xdr:cNvPr>
          <xdr:cNvSpPr>
            <a:spLocks noChangeAspect="1" noChangeArrowheads="1"/>
          </xdr:cNvSpPr>
        </xdr:nvSpPr>
        <xdr:spPr bwMode="auto">
          <a:xfrm>
            <a:off x="952" y="162"/>
            <a:ext cx="125" cy="125"/>
          </a:xfrm>
          <a:prstGeom prst="ellipse">
            <a:avLst/>
          </a:prstGeom>
          <a:gradFill rotWithShape="1">
            <a:gsLst>
              <a:gs pos="0">
                <a:srgbClr val="FFFFFF"/>
              </a:gs>
              <a:gs pos="100000">
                <a:srgbClr val="FFFFFF">
                  <a:gamma/>
                  <a:shade val="76078"/>
                  <a:invGamma/>
                </a:srgbClr>
              </a:gs>
            </a:gsLst>
            <a:lin ang="5400000" scaled="1"/>
          </a:gradFill>
          <a:ln w="28575">
            <a:noFill/>
            <a:round/>
            <a:headEnd/>
            <a:tailEnd/>
          </a:ln>
        </xdr:spPr>
      </xdr:sp>
      <xdr:sp macro="[0]!Sheet1.SaveThisData" textlink="">
        <xdr:nvSpPr>
          <xdr:cNvPr id="67" name="Oval 29">
            <a:extLst>
              <a:ext uri="{FF2B5EF4-FFF2-40B4-BE49-F238E27FC236}">
                <a16:creationId xmlns:a16="http://schemas.microsoft.com/office/drawing/2014/main" id="{00000000-0008-0000-0100-000043000000}"/>
              </a:ext>
            </a:extLst>
          </xdr:cNvPr>
          <xdr:cNvSpPr>
            <a:spLocks noChangeAspect="1" noChangeArrowheads="1"/>
          </xdr:cNvSpPr>
        </xdr:nvSpPr>
        <xdr:spPr bwMode="auto">
          <a:xfrm>
            <a:off x="961" y="171"/>
            <a:ext cx="106" cy="106"/>
          </a:xfrm>
          <a:prstGeom prst="ellipse">
            <a:avLst/>
          </a:prstGeom>
          <a:gradFill rotWithShape="1">
            <a:gsLst>
              <a:gs pos="0">
                <a:srgbClr val="FFFFFF">
                  <a:gamma/>
                  <a:shade val="76078"/>
                  <a:invGamma/>
                </a:srgbClr>
              </a:gs>
              <a:gs pos="100000">
                <a:srgbClr val="FFFFFF"/>
              </a:gs>
            </a:gsLst>
            <a:lin ang="5400000" scaled="1"/>
          </a:gradFill>
          <a:ln w="28575">
            <a:noFill/>
            <a:round/>
            <a:headEnd/>
            <a:tailEnd/>
          </a:ln>
        </xdr:spPr>
        <xdr:txBody>
          <a:bodyPr vertOverflow="clip" wrap="square" lIns="73152" tIns="27432" rIns="73152" bIns="27432" anchor="ctr" upright="1"/>
          <a:lstStyle/>
          <a:p>
            <a:pPr algn="ctr" rtl="0">
              <a:defRPr sz="1000"/>
            </a:pPr>
            <a:endParaRPr lang="en-US" sz="1400" b="1" i="0" strike="noStrike">
              <a:solidFill>
                <a:srgbClr val="969696"/>
              </a:solidFill>
              <a:latin typeface="Wingdings"/>
            </a:endParaRPr>
          </a:p>
        </xdr:txBody>
      </xdr:sp>
    </xdr:grpSp>
    <xdr:clientData fLocksWithSheet="0"/>
  </xdr:twoCellAnchor>
  <xdr:twoCellAnchor>
    <xdr:from>
      <xdr:col>1</xdr:col>
      <xdr:colOff>101211</xdr:colOff>
      <xdr:row>17</xdr:row>
      <xdr:rowOff>120647</xdr:rowOff>
    </xdr:from>
    <xdr:to>
      <xdr:col>1</xdr:col>
      <xdr:colOff>587211</xdr:colOff>
      <xdr:row>17</xdr:row>
      <xdr:rowOff>770063</xdr:rowOff>
    </xdr:to>
    <xdr:grpSp>
      <xdr:nvGrpSpPr>
        <xdr:cNvPr id="68" name="CopyData">
          <a:hlinkClick xmlns:r="http://schemas.openxmlformats.org/officeDocument/2006/relationships" r:id="rId15"/>
          <a:extLst>
            <a:ext uri="{FF2B5EF4-FFF2-40B4-BE49-F238E27FC236}">
              <a16:creationId xmlns:a16="http://schemas.microsoft.com/office/drawing/2014/main" id="{00000000-0008-0000-0100-000044000000}"/>
            </a:ext>
          </a:extLst>
        </xdr:cNvPr>
        <xdr:cNvGrpSpPr>
          <a:grpSpLocks noChangeAspect="1"/>
        </xdr:cNvGrpSpPr>
      </xdr:nvGrpSpPr>
      <xdr:grpSpPr bwMode="auto">
        <a:xfrm>
          <a:off x="252024" y="16162335"/>
          <a:ext cx="486000" cy="649416"/>
          <a:chOff x="952" y="162"/>
          <a:chExt cx="125" cy="125"/>
        </a:xfrm>
        <a:effectLst>
          <a:glow rad="127000">
            <a:srgbClr val="C7C703"/>
          </a:glow>
        </a:effectLst>
      </xdr:grpSpPr>
      <xdr:sp macro="[0]!Sheet1.SaveThisData" textlink="">
        <xdr:nvSpPr>
          <xdr:cNvPr id="70" name="Oval 28">
            <a:extLst>
              <a:ext uri="{FF2B5EF4-FFF2-40B4-BE49-F238E27FC236}">
                <a16:creationId xmlns:a16="http://schemas.microsoft.com/office/drawing/2014/main" id="{00000000-0008-0000-0100-000046000000}"/>
              </a:ext>
            </a:extLst>
          </xdr:cNvPr>
          <xdr:cNvSpPr>
            <a:spLocks noChangeAspect="1" noChangeArrowheads="1"/>
          </xdr:cNvSpPr>
        </xdr:nvSpPr>
        <xdr:spPr bwMode="auto">
          <a:xfrm>
            <a:off x="952" y="162"/>
            <a:ext cx="125" cy="125"/>
          </a:xfrm>
          <a:prstGeom prst="ellipse">
            <a:avLst/>
          </a:prstGeom>
          <a:gradFill rotWithShape="1">
            <a:gsLst>
              <a:gs pos="0">
                <a:srgbClr val="FFFFFF"/>
              </a:gs>
              <a:gs pos="100000">
                <a:srgbClr val="FFFFFF">
                  <a:gamma/>
                  <a:shade val="76078"/>
                  <a:invGamma/>
                </a:srgbClr>
              </a:gs>
            </a:gsLst>
            <a:lin ang="5400000" scaled="1"/>
          </a:gradFill>
          <a:ln w="28575">
            <a:noFill/>
            <a:round/>
            <a:headEnd/>
            <a:tailEnd/>
          </a:ln>
        </xdr:spPr>
      </xdr:sp>
      <xdr:sp macro="[0]!Sheet1.SaveThisData" textlink="">
        <xdr:nvSpPr>
          <xdr:cNvPr id="71" name="Oval 29">
            <a:extLst>
              <a:ext uri="{FF2B5EF4-FFF2-40B4-BE49-F238E27FC236}">
                <a16:creationId xmlns:a16="http://schemas.microsoft.com/office/drawing/2014/main" id="{00000000-0008-0000-0100-000047000000}"/>
              </a:ext>
            </a:extLst>
          </xdr:cNvPr>
          <xdr:cNvSpPr>
            <a:spLocks noChangeAspect="1" noChangeArrowheads="1"/>
          </xdr:cNvSpPr>
        </xdr:nvSpPr>
        <xdr:spPr bwMode="auto">
          <a:xfrm>
            <a:off x="961" y="171"/>
            <a:ext cx="106" cy="106"/>
          </a:xfrm>
          <a:prstGeom prst="ellipse">
            <a:avLst/>
          </a:prstGeom>
          <a:gradFill rotWithShape="1">
            <a:gsLst>
              <a:gs pos="0">
                <a:srgbClr val="FFFFFF">
                  <a:gamma/>
                  <a:shade val="76078"/>
                  <a:invGamma/>
                </a:srgbClr>
              </a:gs>
              <a:gs pos="100000">
                <a:srgbClr val="FFFFFF"/>
              </a:gs>
            </a:gsLst>
            <a:lin ang="5400000" scaled="1"/>
          </a:gradFill>
          <a:ln w="28575">
            <a:noFill/>
            <a:round/>
            <a:headEnd/>
            <a:tailEnd/>
          </a:ln>
        </xdr:spPr>
        <xdr:txBody>
          <a:bodyPr vertOverflow="clip" wrap="square" lIns="73152" tIns="27432" rIns="73152" bIns="27432" anchor="ctr" upright="1"/>
          <a:lstStyle/>
          <a:p>
            <a:pPr algn="ctr" rtl="0">
              <a:defRPr sz="1000"/>
            </a:pPr>
            <a:endParaRPr lang="en-US" sz="1400" b="1" i="0" strike="noStrike">
              <a:solidFill>
                <a:srgbClr val="969696"/>
              </a:solidFill>
              <a:latin typeface="Wingdings"/>
            </a:endParaRPr>
          </a:p>
        </xdr:txBody>
      </xdr:sp>
    </xdr:grpSp>
    <xdr:clientData fLocksWithSheet="0"/>
  </xdr:twoCellAnchor>
  <xdr:twoCellAnchor>
    <xdr:from>
      <xdr:col>1</xdr:col>
      <xdr:colOff>101211</xdr:colOff>
      <xdr:row>18</xdr:row>
      <xdr:rowOff>112709</xdr:rowOff>
    </xdr:from>
    <xdr:to>
      <xdr:col>1</xdr:col>
      <xdr:colOff>587211</xdr:colOff>
      <xdr:row>18</xdr:row>
      <xdr:rowOff>762125</xdr:rowOff>
    </xdr:to>
    <xdr:grpSp>
      <xdr:nvGrpSpPr>
        <xdr:cNvPr id="12363" name="CopyData">
          <a:hlinkClick xmlns:r="http://schemas.openxmlformats.org/officeDocument/2006/relationships" r:id="rId16"/>
          <a:extLst>
            <a:ext uri="{FF2B5EF4-FFF2-40B4-BE49-F238E27FC236}">
              <a16:creationId xmlns:a16="http://schemas.microsoft.com/office/drawing/2014/main" id="{00000000-0008-0000-0100-00004B300000}"/>
            </a:ext>
          </a:extLst>
        </xdr:cNvPr>
        <xdr:cNvGrpSpPr>
          <a:grpSpLocks noChangeAspect="1"/>
        </xdr:cNvGrpSpPr>
      </xdr:nvGrpSpPr>
      <xdr:grpSpPr bwMode="auto">
        <a:xfrm>
          <a:off x="252024" y="17043397"/>
          <a:ext cx="486000" cy="649416"/>
          <a:chOff x="952" y="162"/>
          <a:chExt cx="125" cy="125"/>
        </a:xfrm>
        <a:effectLst>
          <a:glow rad="127000">
            <a:srgbClr val="C7C703"/>
          </a:glow>
        </a:effectLst>
      </xdr:grpSpPr>
      <xdr:sp macro="[0]!Sheet1.SaveThisData" textlink="">
        <xdr:nvSpPr>
          <xdr:cNvPr id="12364" name="Oval 28">
            <a:extLst>
              <a:ext uri="{FF2B5EF4-FFF2-40B4-BE49-F238E27FC236}">
                <a16:creationId xmlns:a16="http://schemas.microsoft.com/office/drawing/2014/main" id="{00000000-0008-0000-0100-00004C300000}"/>
              </a:ext>
            </a:extLst>
          </xdr:cNvPr>
          <xdr:cNvSpPr>
            <a:spLocks noChangeAspect="1" noChangeArrowheads="1"/>
          </xdr:cNvSpPr>
        </xdr:nvSpPr>
        <xdr:spPr bwMode="auto">
          <a:xfrm>
            <a:off x="952" y="162"/>
            <a:ext cx="125" cy="125"/>
          </a:xfrm>
          <a:prstGeom prst="ellipse">
            <a:avLst/>
          </a:prstGeom>
          <a:gradFill rotWithShape="1">
            <a:gsLst>
              <a:gs pos="0">
                <a:srgbClr val="FFFFFF"/>
              </a:gs>
              <a:gs pos="100000">
                <a:srgbClr val="FFFFFF">
                  <a:gamma/>
                  <a:shade val="76078"/>
                  <a:invGamma/>
                </a:srgbClr>
              </a:gs>
            </a:gsLst>
            <a:lin ang="5400000" scaled="1"/>
          </a:gradFill>
          <a:ln w="28575">
            <a:noFill/>
            <a:round/>
            <a:headEnd/>
            <a:tailEnd/>
          </a:ln>
        </xdr:spPr>
      </xdr:sp>
      <xdr:sp macro="[0]!Sheet1.SaveThisData" textlink="">
        <xdr:nvSpPr>
          <xdr:cNvPr id="12365" name="Oval 29">
            <a:extLst>
              <a:ext uri="{FF2B5EF4-FFF2-40B4-BE49-F238E27FC236}">
                <a16:creationId xmlns:a16="http://schemas.microsoft.com/office/drawing/2014/main" id="{00000000-0008-0000-0100-00004D300000}"/>
              </a:ext>
            </a:extLst>
          </xdr:cNvPr>
          <xdr:cNvSpPr>
            <a:spLocks noChangeAspect="1" noChangeArrowheads="1"/>
          </xdr:cNvSpPr>
        </xdr:nvSpPr>
        <xdr:spPr bwMode="auto">
          <a:xfrm>
            <a:off x="961" y="171"/>
            <a:ext cx="106" cy="106"/>
          </a:xfrm>
          <a:prstGeom prst="ellipse">
            <a:avLst/>
          </a:prstGeom>
          <a:gradFill rotWithShape="1">
            <a:gsLst>
              <a:gs pos="0">
                <a:srgbClr val="FFFFFF">
                  <a:gamma/>
                  <a:shade val="76078"/>
                  <a:invGamma/>
                </a:srgbClr>
              </a:gs>
              <a:gs pos="100000">
                <a:srgbClr val="FFFFFF"/>
              </a:gs>
            </a:gsLst>
            <a:lin ang="5400000" scaled="1"/>
          </a:gradFill>
          <a:ln w="28575">
            <a:noFill/>
            <a:round/>
            <a:headEnd/>
            <a:tailEnd/>
          </a:ln>
        </xdr:spPr>
        <xdr:txBody>
          <a:bodyPr vertOverflow="clip" wrap="square" lIns="73152" tIns="27432" rIns="73152" bIns="27432" anchor="ctr" upright="1"/>
          <a:lstStyle/>
          <a:p>
            <a:pPr algn="ctr" rtl="0">
              <a:defRPr sz="1000"/>
            </a:pPr>
            <a:endParaRPr lang="en-US" sz="1400" b="1" i="0" strike="noStrike">
              <a:solidFill>
                <a:srgbClr val="969696"/>
              </a:solidFill>
              <a:latin typeface="Wingdings"/>
            </a:endParaRPr>
          </a:p>
        </xdr:txBody>
      </xdr:sp>
    </xdr:grpSp>
    <xdr:clientData fLocksWithSheet="0"/>
  </xdr:twoCellAnchor>
  <xdr:twoCellAnchor>
    <xdr:from>
      <xdr:col>1</xdr:col>
      <xdr:colOff>101211</xdr:colOff>
      <xdr:row>16</xdr:row>
      <xdr:rowOff>103908</xdr:rowOff>
    </xdr:from>
    <xdr:to>
      <xdr:col>1</xdr:col>
      <xdr:colOff>587211</xdr:colOff>
      <xdr:row>16</xdr:row>
      <xdr:rowOff>753324</xdr:rowOff>
    </xdr:to>
    <xdr:grpSp>
      <xdr:nvGrpSpPr>
        <xdr:cNvPr id="84" name="CopyData">
          <a:hlinkClick xmlns:r="http://schemas.openxmlformats.org/officeDocument/2006/relationships" r:id="rId17"/>
          <a:extLst>
            <a:ext uri="{FF2B5EF4-FFF2-40B4-BE49-F238E27FC236}">
              <a16:creationId xmlns:a16="http://schemas.microsoft.com/office/drawing/2014/main" id="{00000000-0008-0000-0100-000054000000}"/>
            </a:ext>
          </a:extLst>
        </xdr:cNvPr>
        <xdr:cNvGrpSpPr>
          <a:grpSpLocks noChangeAspect="1"/>
        </xdr:cNvGrpSpPr>
      </xdr:nvGrpSpPr>
      <xdr:grpSpPr bwMode="auto">
        <a:xfrm>
          <a:off x="252024" y="15256596"/>
          <a:ext cx="486000" cy="649416"/>
          <a:chOff x="952" y="162"/>
          <a:chExt cx="125" cy="125"/>
        </a:xfrm>
        <a:effectLst>
          <a:glow rad="127000">
            <a:srgbClr val="C7C703"/>
          </a:glow>
        </a:effectLst>
      </xdr:grpSpPr>
      <xdr:sp macro="[0]!Sheet1.SaveThisData" textlink="">
        <xdr:nvSpPr>
          <xdr:cNvPr id="85" name="Oval 28">
            <a:extLst>
              <a:ext uri="{FF2B5EF4-FFF2-40B4-BE49-F238E27FC236}">
                <a16:creationId xmlns:a16="http://schemas.microsoft.com/office/drawing/2014/main" id="{00000000-0008-0000-0100-000055000000}"/>
              </a:ext>
            </a:extLst>
          </xdr:cNvPr>
          <xdr:cNvSpPr>
            <a:spLocks noChangeAspect="1" noChangeArrowheads="1"/>
          </xdr:cNvSpPr>
        </xdr:nvSpPr>
        <xdr:spPr bwMode="auto">
          <a:xfrm>
            <a:off x="952" y="162"/>
            <a:ext cx="125" cy="125"/>
          </a:xfrm>
          <a:prstGeom prst="ellipse">
            <a:avLst/>
          </a:prstGeom>
          <a:gradFill rotWithShape="1">
            <a:gsLst>
              <a:gs pos="0">
                <a:srgbClr val="FFFFFF"/>
              </a:gs>
              <a:gs pos="100000">
                <a:srgbClr val="FFFFFF">
                  <a:gamma/>
                  <a:shade val="76078"/>
                  <a:invGamma/>
                </a:srgbClr>
              </a:gs>
            </a:gsLst>
            <a:lin ang="5400000" scaled="1"/>
          </a:gradFill>
          <a:ln w="28575">
            <a:noFill/>
            <a:round/>
            <a:headEnd/>
            <a:tailEnd/>
          </a:ln>
        </xdr:spPr>
      </xdr:sp>
      <xdr:sp macro="[0]!Sheet1.SaveThisData" textlink="">
        <xdr:nvSpPr>
          <xdr:cNvPr id="86" name="Oval 29">
            <a:extLst>
              <a:ext uri="{FF2B5EF4-FFF2-40B4-BE49-F238E27FC236}">
                <a16:creationId xmlns:a16="http://schemas.microsoft.com/office/drawing/2014/main" id="{00000000-0008-0000-0100-000056000000}"/>
              </a:ext>
            </a:extLst>
          </xdr:cNvPr>
          <xdr:cNvSpPr>
            <a:spLocks noChangeAspect="1" noChangeArrowheads="1"/>
          </xdr:cNvSpPr>
        </xdr:nvSpPr>
        <xdr:spPr bwMode="auto">
          <a:xfrm>
            <a:off x="961" y="171"/>
            <a:ext cx="106" cy="106"/>
          </a:xfrm>
          <a:prstGeom prst="ellipse">
            <a:avLst/>
          </a:prstGeom>
          <a:gradFill rotWithShape="1">
            <a:gsLst>
              <a:gs pos="0">
                <a:srgbClr val="FFFFFF">
                  <a:gamma/>
                  <a:shade val="76078"/>
                  <a:invGamma/>
                </a:srgbClr>
              </a:gs>
              <a:gs pos="100000">
                <a:srgbClr val="FFFFFF"/>
              </a:gs>
            </a:gsLst>
            <a:lin ang="5400000" scaled="1"/>
          </a:gradFill>
          <a:ln w="28575">
            <a:noFill/>
            <a:round/>
            <a:headEnd/>
            <a:tailEnd/>
          </a:ln>
        </xdr:spPr>
        <xdr:txBody>
          <a:bodyPr vertOverflow="clip" wrap="square" lIns="73152" tIns="27432" rIns="73152" bIns="27432" anchor="ctr" upright="1"/>
          <a:lstStyle/>
          <a:p>
            <a:pPr algn="ctr" rtl="0">
              <a:defRPr sz="1000"/>
            </a:pPr>
            <a:endParaRPr lang="en-US" sz="1400" b="1" i="0" strike="noStrike">
              <a:solidFill>
                <a:srgbClr val="969696"/>
              </a:solidFill>
              <a:latin typeface="Wingdings"/>
            </a:endParaRPr>
          </a:p>
        </xdr:txBody>
      </xdr:sp>
    </xdr:grpSp>
    <xdr:clientData fLocksWithSheet="0"/>
  </xdr:twoCellAnchor>
  <xdr:twoCellAnchor>
    <xdr:from>
      <xdr:col>1</xdr:col>
      <xdr:colOff>95258</xdr:colOff>
      <xdr:row>19</xdr:row>
      <xdr:rowOff>425183</xdr:rowOff>
    </xdr:from>
    <xdr:to>
      <xdr:col>1</xdr:col>
      <xdr:colOff>581258</xdr:colOff>
      <xdr:row>19</xdr:row>
      <xdr:rowOff>1100424</xdr:rowOff>
    </xdr:to>
    <xdr:grpSp>
      <xdr:nvGrpSpPr>
        <xdr:cNvPr id="78" name="CopyData">
          <a:hlinkClick xmlns:r="http://schemas.openxmlformats.org/officeDocument/2006/relationships" r:id="rId18"/>
          <a:extLst>
            <a:ext uri="{FF2B5EF4-FFF2-40B4-BE49-F238E27FC236}">
              <a16:creationId xmlns:a16="http://schemas.microsoft.com/office/drawing/2014/main" id="{00000000-0008-0000-0100-00004E000000}"/>
            </a:ext>
          </a:extLst>
        </xdr:cNvPr>
        <xdr:cNvGrpSpPr>
          <a:grpSpLocks noChangeAspect="1"/>
        </xdr:cNvGrpSpPr>
      </xdr:nvGrpSpPr>
      <xdr:grpSpPr bwMode="auto">
        <a:xfrm>
          <a:off x="246071" y="18244871"/>
          <a:ext cx="486000" cy="675241"/>
          <a:chOff x="952" y="162"/>
          <a:chExt cx="125" cy="125"/>
        </a:xfrm>
        <a:effectLst>
          <a:glow rad="127000">
            <a:srgbClr val="C7C703"/>
          </a:glow>
        </a:effectLst>
      </xdr:grpSpPr>
      <xdr:sp macro="[0]!Sheet1.SaveThisData" textlink="">
        <xdr:nvSpPr>
          <xdr:cNvPr id="79" name="Oval 28">
            <a:extLst>
              <a:ext uri="{FF2B5EF4-FFF2-40B4-BE49-F238E27FC236}">
                <a16:creationId xmlns:a16="http://schemas.microsoft.com/office/drawing/2014/main" id="{00000000-0008-0000-0100-00004F000000}"/>
              </a:ext>
            </a:extLst>
          </xdr:cNvPr>
          <xdr:cNvSpPr>
            <a:spLocks noChangeAspect="1" noChangeArrowheads="1"/>
          </xdr:cNvSpPr>
        </xdr:nvSpPr>
        <xdr:spPr bwMode="auto">
          <a:xfrm>
            <a:off x="952" y="162"/>
            <a:ext cx="125" cy="125"/>
          </a:xfrm>
          <a:prstGeom prst="ellipse">
            <a:avLst/>
          </a:prstGeom>
          <a:gradFill rotWithShape="1">
            <a:gsLst>
              <a:gs pos="0">
                <a:srgbClr val="FFFFFF"/>
              </a:gs>
              <a:gs pos="100000">
                <a:srgbClr val="FFFFFF">
                  <a:gamma/>
                  <a:shade val="76078"/>
                  <a:invGamma/>
                </a:srgbClr>
              </a:gs>
            </a:gsLst>
            <a:lin ang="5400000" scaled="1"/>
          </a:gradFill>
          <a:ln w="28575">
            <a:noFill/>
            <a:round/>
            <a:headEnd/>
            <a:tailEnd/>
          </a:ln>
        </xdr:spPr>
      </xdr:sp>
      <xdr:sp macro="[0]!Sheet1.SaveThisData" textlink="">
        <xdr:nvSpPr>
          <xdr:cNvPr id="80" name="Oval 29">
            <a:extLst>
              <a:ext uri="{FF2B5EF4-FFF2-40B4-BE49-F238E27FC236}">
                <a16:creationId xmlns:a16="http://schemas.microsoft.com/office/drawing/2014/main" id="{00000000-0008-0000-0100-000050000000}"/>
              </a:ext>
            </a:extLst>
          </xdr:cNvPr>
          <xdr:cNvSpPr>
            <a:spLocks noChangeAspect="1" noChangeArrowheads="1"/>
          </xdr:cNvSpPr>
        </xdr:nvSpPr>
        <xdr:spPr bwMode="auto">
          <a:xfrm>
            <a:off x="961" y="171"/>
            <a:ext cx="106" cy="106"/>
          </a:xfrm>
          <a:prstGeom prst="ellipse">
            <a:avLst/>
          </a:prstGeom>
          <a:gradFill rotWithShape="1">
            <a:gsLst>
              <a:gs pos="0">
                <a:srgbClr val="FFFFFF">
                  <a:gamma/>
                  <a:shade val="76078"/>
                  <a:invGamma/>
                </a:srgbClr>
              </a:gs>
              <a:gs pos="100000">
                <a:srgbClr val="FFFFFF"/>
              </a:gs>
            </a:gsLst>
            <a:lin ang="5400000" scaled="1"/>
          </a:gradFill>
          <a:ln w="28575">
            <a:noFill/>
            <a:round/>
            <a:headEnd/>
            <a:tailEnd/>
          </a:ln>
        </xdr:spPr>
        <xdr:txBody>
          <a:bodyPr vertOverflow="clip" wrap="square" lIns="73152" tIns="27432" rIns="73152" bIns="27432" anchor="ctr" upright="1"/>
          <a:lstStyle/>
          <a:p>
            <a:pPr algn="ctr" rtl="0">
              <a:defRPr sz="1000"/>
            </a:pPr>
            <a:endParaRPr lang="en-US" sz="1400" b="1" i="0" strike="noStrike">
              <a:solidFill>
                <a:srgbClr val="969696"/>
              </a:solidFill>
              <a:latin typeface="Wingdings"/>
            </a:endParaRPr>
          </a:p>
        </xdr:txBody>
      </xdr:sp>
    </xdr:grpSp>
    <xdr:clientData fLocksWithSheet="0"/>
  </xdr:twoCellAnchor>
  <xdr:twoCellAnchor editAs="oneCell">
    <xdr:from>
      <xdr:col>1</xdr:col>
      <xdr:colOff>21011</xdr:colOff>
      <xdr:row>0</xdr:row>
      <xdr:rowOff>89647</xdr:rowOff>
    </xdr:from>
    <xdr:to>
      <xdr:col>3</xdr:col>
      <xdr:colOff>1161211</xdr:colOff>
      <xdr:row>0</xdr:row>
      <xdr:rowOff>686716</xdr:rowOff>
    </xdr:to>
    <xdr:pic>
      <xdr:nvPicPr>
        <xdr:cNvPr id="73" name="Picture 72">
          <a:extLst>
            <a:ext uri="{FF2B5EF4-FFF2-40B4-BE49-F238E27FC236}">
              <a16:creationId xmlns:a16="http://schemas.microsoft.com/office/drawing/2014/main" id="{00000000-0008-0000-0100-000049000000}"/>
            </a:ext>
          </a:extLst>
        </xdr:cNvPr>
        <xdr:cNvPicPr>
          <a:picLocks noChangeAspect="1"/>
        </xdr:cNvPicPr>
      </xdr:nvPicPr>
      <xdr:blipFill>
        <a:blip xmlns:r="http://schemas.openxmlformats.org/officeDocument/2006/relationships" r:embed="rId19"/>
        <a:stretch>
          <a:fillRect/>
        </a:stretch>
      </xdr:blipFill>
      <xdr:spPr>
        <a:xfrm>
          <a:off x="171824" y="89647"/>
          <a:ext cx="3505575" cy="597069"/>
        </a:xfrm>
        <a:prstGeom prst="rect">
          <a:avLst/>
        </a:prstGeom>
      </xdr:spPr>
    </xdr:pic>
    <xdr:clientData/>
  </xdr:twoCellAnchor>
  <xdr:twoCellAnchor>
    <xdr:from>
      <xdr:col>1</xdr:col>
      <xdr:colOff>111125</xdr:colOff>
      <xdr:row>20</xdr:row>
      <xdr:rowOff>103188</xdr:rowOff>
    </xdr:from>
    <xdr:to>
      <xdr:col>1</xdr:col>
      <xdr:colOff>571500</xdr:colOff>
      <xdr:row>20</xdr:row>
      <xdr:rowOff>798800</xdr:rowOff>
    </xdr:to>
    <xdr:grpSp>
      <xdr:nvGrpSpPr>
        <xdr:cNvPr id="81" name="CopyData">
          <a:hlinkClick xmlns:r="http://schemas.openxmlformats.org/officeDocument/2006/relationships" r:id="rId20"/>
          <a:extLst>
            <a:ext uri="{FF2B5EF4-FFF2-40B4-BE49-F238E27FC236}">
              <a16:creationId xmlns:a16="http://schemas.microsoft.com/office/drawing/2014/main" id="{00000000-0008-0000-0100-000051000000}"/>
            </a:ext>
          </a:extLst>
        </xdr:cNvPr>
        <xdr:cNvGrpSpPr>
          <a:grpSpLocks noChangeAspect="1"/>
        </xdr:cNvGrpSpPr>
      </xdr:nvGrpSpPr>
      <xdr:grpSpPr bwMode="auto">
        <a:xfrm>
          <a:off x="261938" y="19431001"/>
          <a:ext cx="460375" cy="695612"/>
          <a:chOff x="952" y="162"/>
          <a:chExt cx="125" cy="125"/>
        </a:xfrm>
        <a:effectLst>
          <a:glow rad="127000">
            <a:srgbClr val="C7C703"/>
          </a:glow>
        </a:effectLst>
      </xdr:grpSpPr>
      <xdr:sp macro="[0]!Sheet1.SaveThisData" textlink="">
        <xdr:nvSpPr>
          <xdr:cNvPr id="82" name="Oval 28">
            <a:extLst>
              <a:ext uri="{FF2B5EF4-FFF2-40B4-BE49-F238E27FC236}">
                <a16:creationId xmlns:a16="http://schemas.microsoft.com/office/drawing/2014/main" id="{00000000-0008-0000-0100-000052000000}"/>
              </a:ext>
            </a:extLst>
          </xdr:cNvPr>
          <xdr:cNvSpPr>
            <a:spLocks noChangeAspect="1" noChangeArrowheads="1"/>
          </xdr:cNvSpPr>
        </xdr:nvSpPr>
        <xdr:spPr bwMode="auto">
          <a:xfrm>
            <a:off x="952" y="162"/>
            <a:ext cx="125" cy="125"/>
          </a:xfrm>
          <a:prstGeom prst="ellipse">
            <a:avLst/>
          </a:prstGeom>
          <a:gradFill rotWithShape="1">
            <a:gsLst>
              <a:gs pos="0">
                <a:srgbClr val="FFFFFF"/>
              </a:gs>
              <a:gs pos="100000">
                <a:srgbClr val="FFFFFF">
                  <a:gamma/>
                  <a:shade val="76078"/>
                  <a:invGamma/>
                </a:srgbClr>
              </a:gs>
            </a:gsLst>
            <a:lin ang="5400000" scaled="1"/>
          </a:gradFill>
          <a:ln w="28575">
            <a:noFill/>
            <a:round/>
            <a:headEnd/>
            <a:tailEnd/>
          </a:ln>
        </xdr:spPr>
      </xdr:sp>
      <xdr:sp macro="[0]!Sheet1.SaveThisData" textlink="">
        <xdr:nvSpPr>
          <xdr:cNvPr id="83" name="Oval 29">
            <a:extLst>
              <a:ext uri="{FF2B5EF4-FFF2-40B4-BE49-F238E27FC236}">
                <a16:creationId xmlns:a16="http://schemas.microsoft.com/office/drawing/2014/main" id="{00000000-0008-0000-0100-000053000000}"/>
              </a:ext>
            </a:extLst>
          </xdr:cNvPr>
          <xdr:cNvSpPr>
            <a:spLocks noChangeAspect="1" noChangeArrowheads="1"/>
          </xdr:cNvSpPr>
        </xdr:nvSpPr>
        <xdr:spPr bwMode="auto">
          <a:xfrm>
            <a:off x="961" y="171"/>
            <a:ext cx="106" cy="106"/>
          </a:xfrm>
          <a:prstGeom prst="ellipse">
            <a:avLst/>
          </a:prstGeom>
          <a:gradFill rotWithShape="1">
            <a:gsLst>
              <a:gs pos="0">
                <a:srgbClr val="FFFFFF">
                  <a:gamma/>
                  <a:shade val="76078"/>
                  <a:invGamma/>
                </a:srgbClr>
              </a:gs>
              <a:gs pos="100000">
                <a:srgbClr val="FFFFFF"/>
              </a:gs>
            </a:gsLst>
            <a:lin ang="5400000" scaled="1"/>
          </a:gradFill>
          <a:ln w="28575">
            <a:noFill/>
            <a:round/>
            <a:headEnd/>
            <a:tailEnd/>
          </a:ln>
        </xdr:spPr>
        <xdr:txBody>
          <a:bodyPr vertOverflow="clip" wrap="square" lIns="73152" tIns="27432" rIns="73152" bIns="27432" anchor="ctr" upright="1"/>
          <a:lstStyle/>
          <a:p>
            <a:pPr algn="ctr" rtl="0">
              <a:defRPr sz="1000"/>
            </a:pPr>
            <a:endParaRPr lang="en-US" sz="1400" b="1" i="0" strike="noStrike">
              <a:solidFill>
                <a:srgbClr val="969696"/>
              </a:solidFill>
              <a:latin typeface="Wingdings"/>
            </a:endParaRPr>
          </a:p>
        </xdr:txBody>
      </xdr:sp>
    </xdr:grpSp>
    <xdr:clientData fLocksWithSheet="0"/>
  </xdr:twoCellAnchor>
  <xdr:twoCellAnchor>
    <xdr:from>
      <xdr:col>1</xdr:col>
      <xdr:colOff>103196</xdr:colOff>
      <xdr:row>21</xdr:row>
      <xdr:rowOff>131494</xdr:rowOff>
    </xdr:from>
    <xdr:to>
      <xdr:col>1</xdr:col>
      <xdr:colOff>589196</xdr:colOff>
      <xdr:row>21</xdr:row>
      <xdr:rowOff>825499</xdr:rowOff>
    </xdr:to>
    <xdr:grpSp>
      <xdr:nvGrpSpPr>
        <xdr:cNvPr id="2" name="CopyData">
          <a:hlinkClick xmlns:r="http://schemas.openxmlformats.org/officeDocument/2006/relationships" r:id="rId21"/>
          <a:extLst>
            <a:ext uri="{FF2B5EF4-FFF2-40B4-BE49-F238E27FC236}">
              <a16:creationId xmlns:a16="http://schemas.microsoft.com/office/drawing/2014/main" id="{C485550C-4E97-4190-A4E7-22CB53BC3B69}"/>
            </a:ext>
          </a:extLst>
        </xdr:cNvPr>
        <xdr:cNvGrpSpPr>
          <a:grpSpLocks noChangeAspect="1"/>
        </xdr:cNvGrpSpPr>
      </xdr:nvGrpSpPr>
      <xdr:grpSpPr bwMode="auto">
        <a:xfrm>
          <a:off x="254009" y="20340369"/>
          <a:ext cx="486000" cy="694005"/>
          <a:chOff x="952" y="162"/>
          <a:chExt cx="125" cy="125"/>
        </a:xfrm>
        <a:effectLst>
          <a:glow rad="127000">
            <a:srgbClr val="C7C703"/>
          </a:glow>
        </a:effectLst>
      </xdr:grpSpPr>
      <xdr:sp macro="[0]!Sheet1.SaveThisData" textlink="">
        <xdr:nvSpPr>
          <xdr:cNvPr id="3" name="Oval 28">
            <a:extLst>
              <a:ext uri="{FF2B5EF4-FFF2-40B4-BE49-F238E27FC236}">
                <a16:creationId xmlns:a16="http://schemas.microsoft.com/office/drawing/2014/main" id="{62A1958C-B9F4-0CCF-0C16-3086E62739F0}"/>
              </a:ext>
            </a:extLst>
          </xdr:cNvPr>
          <xdr:cNvSpPr>
            <a:spLocks noChangeAspect="1" noChangeArrowheads="1"/>
          </xdr:cNvSpPr>
        </xdr:nvSpPr>
        <xdr:spPr bwMode="auto">
          <a:xfrm>
            <a:off x="952" y="162"/>
            <a:ext cx="125" cy="125"/>
          </a:xfrm>
          <a:prstGeom prst="ellipse">
            <a:avLst/>
          </a:prstGeom>
          <a:gradFill rotWithShape="1">
            <a:gsLst>
              <a:gs pos="0">
                <a:srgbClr val="FFFFFF"/>
              </a:gs>
              <a:gs pos="100000">
                <a:srgbClr val="FFFFFF">
                  <a:gamma/>
                  <a:shade val="76078"/>
                  <a:invGamma/>
                </a:srgbClr>
              </a:gs>
            </a:gsLst>
            <a:lin ang="5400000" scaled="1"/>
          </a:gradFill>
          <a:ln w="28575">
            <a:noFill/>
            <a:round/>
            <a:headEnd/>
            <a:tailEnd/>
          </a:ln>
        </xdr:spPr>
      </xdr:sp>
      <xdr:sp macro="[0]!Sheet1.SaveThisData" textlink="">
        <xdr:nvSpPr>
          <xdr:cNvPr id="4" name="Oval 29">
            <a:extLst>
              <a:ext uri="{FF2B5EF4-FFF2-40B4-BE49-F238E27FC236}">
                <a16:creationId xmlns:a16="http://schemas.microsoft.com/office/drawing/2014/main" id="{78FB9478-E239-E6C1-7900-CD9D1CC028B5}"/>
              </a:ext>
            </a:extLst>
          </xdr:cNvPr>
          <xdr:cNvSpPr>
            <a:spLocks noChangeAspect="1" noChangeArrowheads="1"/>
          </xdr:cNvSpPr>
        </xdr:nvSpPr>
        <xdr:spPr bwMode="auto">
          <a:xfrm>
            <a:off x="961" y="171"/>
            <a:ext cx="106" cy="106"/>
          </a:xfrm>
          <a:prstGeom prst="ellipse">
            <a:avLst/>
          </a:prstGeom>
          <a:gradFill rotWithShape="1">
            <a:gsLst>
              <a:gs pos="0">
                <a:srgbClr val="FFFFFF">
                  <a:gamma/>
                  <a:shade val="76078"/>
                  <a:invGamma/>
                </a:srgbClr>
              </a:gs>
              <a:gs pos="100000">
                <a:srgbClr val="FFFFFF"/>
              </a:gs>
            </a:gsLst>
            <a:lin ang="5400000" scaled="1"/>
          </a:gradFill>
          <a:ln w="28575">
            <a:noFill/>
            <a:round/>
            <a:headEnd/>
            <a:tailEnd/>
          </a:ln>
        </xdr:spPr>
        <xdr:txBody>
          <a:bodyPr vertOverflow="clip" wrap="square" lIns="73152" tIns="27432" rIns="73152" bIns="27432" anchor="ctr" upright="1"/>
          <a:lstStyle/>
          <a:p>
            <a:pPr algn="ctr" rtl="0">
              <a:defRPr sz="1000"/>
            </a:pPr>
            <a:endParaRPr lang="en-US" sz="1400" b="1" i="0" strike="noStrike">
              <a:solidFill>
                <a:srgbClr val="969696"/>
              </a:solidFill>
              <a:latin typeface="Wingdings"/>
            </a:endParaRPr>
          </a:p>
        </xdr:txBody>
      </xdr:sp>
    </xdr:grpSp>
    <xdr:clientData fLocksWithSheet="0"/>
  </xdr:twoCellAnchor>
  <xdr:twoCellAnchor>
    <xdr:from>
      <xdr:col>1</xdr:col>
      <xdr:colOff>103196</xdr:colOff>
      <xdr:row>22</xdr:row>
      <xdr:rowOff>131494</xdr:rowOff>
    </xdr:from>
    <xdr:to>
      <xdr:col>1</xdr:col>
      <xdr:colOff>589196</xdr:colOff>
      <xdr:row>22</xdr:row>
      <xdr:rowOff>841375</xdr:rowOff>
    </xdr:to>
    <xdr:grpSp>
      <xdr:nvGrpSpPr>
        <xdr:cNvPr id="5" name="CopyData">
          <a:hlinkClick xmlns:r="http://schemas.openxmlformats.org/officeDocument/2006/relationships" r:id="rId22"/>
          <a:extLst>
            <a:ext uri="{FF2B5EF4-FFF2-40B4-BE49-F238E27FC236}">
              <a16:creationId xmlns:a16="http://schemas.microsoft.com/office/drawing/2014/main" id="{0C4F4752-4710-48D4-964D-3B51719886AD}"/>
            </a:ext>
          </a:extLst>
        </xdr:cNvPr>
        <xdr:cNvGrpSpPr>
          <a:grpSpLocks noChangeAspect="1"/>
        </xdr:cNvGrpSpPr>
      </xdr:nvGrpSpPr>
      <xdr:grpSpPr bwMode="auto">
        <a:xfrm>
          <a:off x="254009" y="21284932"/>
          <a:ext cx="486000" cy="709881"/>
          <a:chOff x="952" y="162"/>
          <a:chExt cx="125" cy="125"/>
        </a:xfrm>
        <a:effectLst>
          <a:glow rad="127000">
            <a:srgbClr val="C7C703"/>
          </a:glow>
        </a:effectLst>
      </xdr:grpSpPr>
      <xdr:sp macro="[0]!Sheet1.SaveThisData" textlink="">
        <xdr:nvSpPr>
          <xdr:cNvPr id="6" name="Oval 28">
            <a:extLst>
              <a:ext uri="{FF2B5EF4-FFF2-40B4-BE49-F238E27FC236}">
                <a16:creationId xmlns:a16="http://schemas.microsoft.com/office/drawing/2014/main" id="{6694D534-B8F5-CBBE-7A2D-C97AC1C93F1D}"/>
              </a:ext>
            </a:extLst>
          </xdr:cNvPr>
          <xdr:cNvSpPr>
            <a:spLocks noChangeAspect="1" noChangeArrowheads="1"/>
          </xdr:cNvSpPr>
        </xdr:nvSpPr>
        <xdr:spPr bwMode="auto">
          <a:xfrm>
            <a:off x="952" y="162"/>
            <a:ext cx="125" cy="125"/>
          </a:xfrm>
          <a:prstGeom prst="ellipse">
            <a:avLst/>
          </a:prstGeom>
          <a:gradFill rotWithShape="1">
            <a:gsLst>
              <a:gs pos="0">
                <a:srgbClr val="FFFFFF"/>
              </a:gs>
              <a:gs pos="100000">
                <a:srgbClr val="FFFFFF">
                  <a:gamma/>
                  <a:shade val="76078"/>
                  <a:invGamma/>
                </a:srgbClr>
              </a:gs>
            </a:gsLst>
            <a:lin ang="5400000" scaled="1"/>
          </a:gradFill>
          <a:ln w="28575">
            <a:noFill/>
            <a:round/>
            <a:headEnd/>
            <a:tailEnd/>
          </a:ln>
        </xdr:spPr>
      </xdr:sp>
      <xdr:sp macro="[0]!Sheet1.SaveThisData" textlink="">
        <xdr:nvSpPr>
          <xdr:cNvPr id="7" name="Oval 29">
            <a:extLst>
              <a:ext uri="{FF2B5EF4-FFF2-40B4-BE49-F238E27FC236}">
                <a16:creationId xmlns:a16="http://schemas.microsoft.com/office/drawing/2014/main" id="{C548A865-5BA8-CBA4-CF46-39FB6F77905F}"/>
              </a:ext>
            </a:extLst>
          </xdr:cNvPr>
          <xdr:cNvSpPr>
            <a:spLocks noChangeAspect="1" noChangeArrowheads="1"/>
          </xdr:cNvSpPr>
        </xdr:nvSpPr>
        <xdr:spPr bwMode="auto">
          <a:xfrm>
            <a:off x="961" y="171"/>
            <a:ext cx="106" cy="106"/>
          </a:xfrm>
          <a:prstGeom prst="ellipse">
            <a:avLst/>
          </a:prstGeom>
          <a:gradFill rotWithShape="1">
            <a:gsLst>
              <a:gs pos="0">
                <a:srgbClr val="FFFFFF">
                  <a:gamma/>
                  <a:shade val="76078"/>
                  <a:invGamma/>
                </a:srgbClr>
              </a:gs>
              <a:gs pos="100000">
                <a:srgbClr val="FFFFFF"/>
              </a:gs>
            </a:gsLst>
            <a:lin ang="5400000" scaled="1"/>
          </a:gradFill>
          <a:ln w="28575">
            <a:noFill/>
            <a:round/>
            <a:headEnd/>
            <a:tailEnd/>
          </a:ln>
        </xdr:spPr>
        <xdr:txBody>
          <a:bodyPr vertOverflow="clip" wrap="square" lIns="73152" tIns="27432" rIns="73152" bIns="27432" anchor="ctr" upright="1"/>
          <a:lstStyle/>
          <a:p>
            <a:pPr algn="ctr" rtl="0">
              <a:defRPr sz="1000"/>
            </a:pPr>
            <a:endParaRPr lang="en-US" sz="1400" b="1" i="0" strike="noStrike">
              <a:solidFill>
                <a:srgbClr val="969696"/>
              </a:solidFill>
              <a:latin typeface="Wingdings"/>
            </a:endParaRPr>
          </a:p>
        </xdr:txBody>
      </xdr:sp>
    </xdr:grpSp>
    <xdr:clientData fLocksWithSheet="0"/>
  </xdr:twoCellAnchor>
  <xdr:twoCellAnchor>
    <xdr:from>
      <xdr:col>1</xdr:col>
      <xdr:colOff>103196</xdr:colOff>
      <xdr:row>23</xdr:row>
      <xdr:rowOff>131494</xdr:rowOff>
    </xdr:from>
    <xdr:to>
      <xdr:col>1</xdr:col>
      <xdr:colOff>589196</xdr:colOff>
      <xdr:row>23</xdr:row>
      <xdr:rowOff>841375</xdr:rowOff>
    </xdr:to>
    <xdr:grpSp>
      <xdr:nvGrpSpPr>
        <xdr:cNvPr id="8" name="CopyData">
          <a:hlinkClick xmlns:r="http://schemas.openxmlformats.org/officeDocument/2006/relationships" r:id="rId23"/>
          <a:extLst>
            <a:ext uri="{FF2B5EF4-FFF2-40B4-BE49-F238E27FC236}">
              <a16:creationId xmlns:a16="http://schemas.microsoft.com/office/drawing/2014/main" id="{1E276C68-AFA9-4AB9-9222-9011D04FD37E}"/>
            </a:ext>
          </a:extLst>
        </xdr:cNvPr>
        <xdr:cNvGrpSpPr>
          <a:grpSpLocks noChangeAspect="1"/>
        </xdr:cNvGrpSpPr>
      </xdr:nvGrpSpPr>
      <xdr:grpSpPr bwMode="auto">
        <a:xfrm>
          <a:off x="254009" y="22245369"/>
          <a:ext cx="486000" cy="709881"/>
          <a:chOff x="952" y="162"/>
          <a:chExt cx="125" cy="125"/>
        </a:xfrm>
        <a:effectLst>
          <a:glow rad="127000">
            <a:srgbClr val="C7C703"/>
          </a:glow>
        </a:effectLst>
      </xdr:grpSpPr>
      <xdr:sp macro="[0]!Sheet1.SaveThisData" textlink="">
        <xdr:nvSpPr>
          <xdr:cNvPr id="9" name="Oval 28">
            <a:extLst>
              <a:ext uri="{FF2B5EF4-FFF2-40B4-BE49-F238E27FC236}">
                <a16:creationId xmlns:a16="http://schemas.microsoft.com/office/drawing/2014/main" id="{8E029C47-76F2-9736-D93A-CFFD26B86BAD}"/>
              </a:ext>
            </a:extLst>
          </xdr:cNvPr>
          <xdr:cNvSpPr>
            <a:spLocks noChangeAspect="1" noChangeArrowheads="1"/>
          </xdr:cNvSpPr>
        </xdr:nvSpPr>
        <xdr:spPr bwMode="auto">
          <a:xfrm>
            <a:off x="952" y="162"/>
            <a:ext cx="125" cy="125"/>
          </a:xfrm>
          <a:prstGeom prst="ellipse">
            <a:avLst/>
          </a:prstGeom>
          <a:gradFill rotWithShape="1">
            <a:gsLst>
              <a:gs pos="0">
                <a:srgbClr val="FFFFFF"/>
              </a:gs>
              <a:gs pos="100000">
                <a:srgbClr val="FFFFFF">
                  <a:gamma/>
                  <a:shade val="76078"/>
                  <a:invGamma/>
                </a:srgbClr>
              </a:gs>
            </a:gsLst>
            <a:lin ang="5400000" scaled="1"/>
          </a:gradFill>
          <a:ln w="28575">
            <a:noFill/>
            <a:round/>
            <a:headEnd/>
            <a:tailEnd/>
          </a:ln>
        </xdr:spPr>
      </xdr:sp>
      <xdr:sp macro="[0]!Sheet1.SaveThisData" textlink="">
        <xdr:nvSpPr>
          <xdr:cNvPr id="10" name="Oval 29">
            <a:extLst>
              <a:ext uri="{FF2B5EF4-FFF2-40B4-BE49-F238E27FC236}">
                <a16:creationId xmlns:a16="http://schemas.microsoft.com/office/drawing/2014/main" id="{C5AA3B25-39E9-D4AC-0A2C-2EF568E49719}"/>
              </a:ext>
            </a:extLst>
          </xdr:cNvPr>
          <xdr:cNvSpPr>
            <a:spLocks noChangeAspect="1" noChangeArrowheads="1"/>
          </xdr:cNvSpPr>
        </xdr:nvSpPr>
        <xdr:spPr bwMode="auto">
          <a:xfrm>
            <a:off x="961" y="171"/>
            <a:ext cx="106" cy="106"/>
          </a:xfrm>
          <a:prstGeom prst="ellipse">
            <a:avLst/>
          </a:prstGeom>
          <a:gradFill rotWithShape="1">
            <a:gsLst>
              <a:gs pos="0">
                <a:srgbClr val="FFFFFF">
                  <a:gamma/>
                  <a:shade val="76078"/>
                  <a:invGamma/>
                </a:srgbClr>
              </a:gs>
              <a:gs pos="100000">
                <a:srgbClr val="FFFFFF"/>
              </a:gs>
            </a:gsLst>
            <a:lin ang="5400000" scaled="1"/>
          </a:gradFill>
          <a:ln w="28575">
            <a:noFill/>
            <a:round/>
            <a:headEnd/>
            <a:tailEnd/>
          </a:ln>
        </xdr:spPr>
        <xdr:txBody>
          <a:bodyPr vertOverflow="clip" wrap="square" lIns="73152" tIns="27432" rIns="73152" bIns="27432" anchor="ctr" upright="1"/>
          <a:lstStyle/>
          <a:p>
            <a:pPr algn="ctr" rtl="0">
              <a:defRPr sz="1000"/>
            </a:pPr>
            <a:endParaRPr lang="en-US" sz="1400" b="1" i="0" strike="noStrike">
              <a:solidFill>
                <a:srgbClr val="969696"/>
              </a:solidFill>
              <a:latin typeface="Wingdings"/>
            </a:endParaRPr>
          </a:p>
        </xdr:txBody>
      </xdr:sp>
    </xdr:grpSp>
    <xdr:clientData fLocksWithSheet="0"/>
  </xdr:twoCellAnchor>
</xdr:wsDr>
</file>

<file path=xl/drawings/drawing3.xml><?xml version="1.0" encoding="utf-8"?>
<xdr:wsDr xmlns:xdr="http://schemas.openxmlformats.org/drawingml/2006/spreadsheetDrawing" xmlns:a="http://schemas.openxmlformats.org/drawingml/2006/main">
  <xdr:twoCellAnchor editAs="oneCell">
    <xdr:from>
      <xdr:col>1</xdr:col>
      <xdr:colOff>55563</xdr:colOff>
      <xdr:row>0</xdr:row>
      <xdr:rowOff>123450</xdr:rowOff>
    </xdr:from>
    <xdr:to>
      <xdr:col>1</xdr:col>
      <xdr:colOff>699963</xdr:colOff>
      <xdr:row>4</xdr:row>
      <xdr:rowOff>23168</xdr:rowOff>
    </xdr:to>
    <xdr:pic>
      <xdr:nvPicPr>
        <xdr:cNvPr id="2" name="Picture 4">
          <a:hlinkClick xmlns:r="http://schemas.openxmlformats.org/officeDocument/2006/relationships" r:id="rId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6376" y="123450"/>
          <a:ext cx="644400" cy="685531"/>
        </a:xfrm>
        <a:prstGeom prst="rect">
          <a:avLst/>
        </a:prstGeom>
        <a:noFill/>
      </xdr:spPr>
    </xdr:pic>
    <xdr:clientData/>
  </xdr:twoCellAnchor>
  <xdr:twoCellAnchor editAs="oneCell">
    <xdr:from>
      <xdr:col>1</xdr:col>
      <xdr:colOff>754061</xdr:colOff>
      <xdr:row>0</xdr:row>
      <xdr:rowOff>230188</xdr:rowOff>
    </xdr:from>
    <xdr:to>
      <xdr:col>2</xdr:col>
      <xdr:colOff>2119312</xdr:colOff>
      <xdr:row>3</xdr:row>
      <xdr:rowOff>174626</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3"/>
        <a:stretch>
          <a:fillRect/>
        </a:stretch>
      </xdr:blipFill>
      <xdr:spPr>
        <a:xfrm>
          <a:off x="904874" y="230188"/>
          <a:ext cx="3508376" cy="5476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47626</xdr:colOff>
      <xdr:row>0</xdr:row>
      <xdr:rowOff>117475</xdr:rowOff>
    </xdr:from>
    <xdr:to>
      <xdr:col>1</xdr:col>
      <xdr:colOff>692026</xdr:colOff>
      <xdr:row>4</xdr:row>
      <xdr:rowOff>12675</xdr:rowOff>
    </xdr:to>
    <xdr:pic>
      <xdr:nvPicPr>
        <xdr:cNvPr id="2" name="Picture 4">
          <a:hlinkClick xmlns:r="http://schemas.openxmlformats.org/officeDocument/2006/relationships" r:id="rId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98439" y="117475"/>
          <a:ext cx="644400" cy="681013"/>
        </a:xfrm>
        <a:prstGeom prst="rect">
          <a:avLst/>
        </a:prstGeom>
        <a:noFill/>
      </xdr:spPr>
    </xdr:pic>
    <xdr:clientData/>
  </xdr:twoCellAnchor>
  <xdr:twoCellAnchor editAs="oneCell">
    <xdr:from>
      <xdr:col>1</xdr:col>
      <xdr:colOff>785812</xdr:colOff>
      <xdr:row>0</xdr:row>
      <xdr:rowOff>230187</xdr:rowOff>
    </xdr:from>
    <xdr:to>
      <xdr:col>3</xdr:col>
      <xdr:colOff>7938</xdr:colOff>
      <xdr:row>3</xdr:row>
      <xdr:rowOff>174625</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3"/>
        <a:stretch>
          <a:fillRect/>
        </a:stretch>
      </xdr:blipFill>
      <xdr:spPr>
        <a:xfrm>
          <a:off x="936625" y="230187"/>
          <a:ext cx="3508376" cy="54768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7935</xdr:colOff>
      <xdr:row>0</xdr:row>
      <xdr:rowOff>173036</xdr:rowOff>
    </xdr:from>
    <xdr:to>
      <xdr:col>1</xdr:col>
      <xdr:colOff>650875</xdr:colOff>
      <xdr:row>4</xdr:row>
      <xdr:rowOff>122254</xdr:rowOff>
    </xdr:to>
    <xdr:pic>
      <xdr:nvPicPr>
        <xdr:cNvPr id="2" name="Picture 4">
          <a:hlinkClick xmlns:r="http://schemas.openxmlformats.org/officeDocument/2006/relationships" r:id="rId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58748" y="173036"/>
          <a:ext cx="642940" cy="679468"/>
        </a:xfrm>
        <a:prstGeom prst="rect">
          <a:avLst/>
        </a:prstGeom>
        <a:noFill/>
      </xdr:spPr>
    </xdr:pic>
    <xdr:clientData/>
  </xdr:twoCellAnchor>
  <xdr:twoCellAnchor editAs="oneCell">
    <xdr:from>
      <xdr:col>1</xdr:col>
      <xdr:colOff>777875</xdr:colOff>
      <xdr:row>0</xdr:row>
      <xdr:rowOff>230189</xdr:rowOff>
    </xdr:from>
    <xdr:to>
      <xdr:col>3</xdr:col>
      <xdr:colOff>1</xdr:colOff>
      <xdr:row>4</xdr:row>
      <xdr:rowOff>3177</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928688" y="230189"/>
          <a:ext cx="3508376" cy="54768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63499</xdr:colOff>
      <xdr:row>0</xdr:row>
      <xdr:rowOff>193674</xdr:rowOff>
    </xdr:from>
    <xdr:to>
      <xdr:col>1</xdr:col>
      <xdr:colOff>707899</xdr:colOff>
      <xdr:row>4</xdr:row>
      <xdr:rowOff>57125</xdr:rowOff>
    </xdr:to>
    <xdr:pic>
      <xdr:nvPicPr>
        <xdr:cNvPr id="2" name="Picture 4">
          <a:hlinkClick xmlns:r="http://schemas.openxmlformats.org/officeDocument/2006/relationships" r:id="rId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14312" y="193674"/>
          <a:ext cx="644400" cy="681014"/>
        </a:xfrm>
        <a:prstGeom prst="rect">
          <a:avLst/>
        </a:prstGeom>
        <a:noFill/>
      </xdr:spPr>
    </xdr:pic>
    <xdr:clientData/>
  </xdr:twoCellAnchor>
  <xdr:twoCellAnchor editAs="oneCell">
    <xdr:from>
      <xdr:col>1</xdr:col>
      <xdr:colOff>746124</xdr:colOff>
      <xdr:row>1</xdr:row>
      <xdr:rowOff>0</xdr:rowOff>
    </xdr:from>
    <xdr:to>
      <xdr:col>3</xdr:col>
      <xdr:colOff>0</xdr:colOff>
      <xdr:row>4</xdr:row>
      <xdr:rowOff>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3"/>
        <a:stretch>
          <a:fillRect/>
        </a:stretch>
      </xdr:blipFill>
      <xdr:spPr>
        <a:xfrm>
          <a:off x="896937" y="269875"/>
          <a:ext cx="3540126" cy="5476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68635</xdr:colOff>
      <xdr:row>0</xdr:row>
      <xdr:rowOff>163513</xdr:rowOff>
    </xdr:from>
    <xdr:to>
      <xdr:col>1</xdr:col>
      <xdr:colOff>713035</xdr:colOff>
      <xdr:row>4</xdr:row>
      <xdr:rowOff>40381</xdr:rowOff>
    </xdr:to>
    <xdr:pic>
      <xdr:nvPicPr>
        <xdr:cNvPr id="10" name="Picture 4">
          <a:hlinkClick xmlns:r="http://schemas.openxmlformats.org/officeDocument/2006/relationships" r:id="rId1"/>
          <a:extLst>
            <a:ext uri="{FF2B5EF4-FFF2-40B4-BE49-F238E27FC236}">
              <a16:creationId xmlns:a16="http://schemas.microsoft.com/office/drawing/2014/main" id="{00000000-0008-0000-0600-00000A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19448" y="163513"/>
          <a:ext cx="644400" cy="662681"/>
        </a:xfrm>
        <a:prstGeom prst="rect">
          <a:avLst/>
        </a:prstGeom>
        <a:noFill/>
      </xdr:spPr>
    </xdr:pic>
    <xdr:clientData/>
  </xdr:twoCellAnchor>
  <xdr:twoCellAnchor editAs="oneCell">
    <xdr:from>
      <xdr:col>1</xdr:col>
      <xdr:colOff>775072</xdr:colOff>
      <xdr:row>1</xdr:row>
      <xdr:rowOff>1</xdr:rowOff>
    </xdr:from>
    <xdr:to>
      <xdr:col>2</xdr:col>
      <xdr:colOff>2140323</xdr:colOff>
      <xdr:row>4</xdr:row>
      <xdr:rowOff>1</xdr:rowOff>
    </xdr:to>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925885" y="238126"/>
          <a:ext cx="3508376" cy="54768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63499</xdr:colOff>
      <xdr:row>0</xdr:row>
      <xdr:rowOff>169862</xdr:rowOff>
    </xdr:from>
    <xdr:to>
      <xdr:col>1</xdr:col>
      <xdr:colOff>707899</xdr:colOff>
      <xdr:row>4</xdr:row>
      <xdr:rowOff>65011</xdr:rowOff>
    </xdr:to>
    <xdr:pic>
      <xdr:nvPicPr>
        <xdr:cNvPr id="10" name="Picture 4">
          <a:hlinkClick xmlns:r="http://schemas.openxmlformats.org/officeDocument/2006/relationships" r:id="rId1"/>
          <a:extLst>
            <a:ext uri="{FF2B5EF4-FFF2-40B4-BE49-F238E27FC236}">
              <a16:creationId xmlns:a16="http://schemas.microsoft.com/office/drawing/2014/main" id="{00000000-0008-0000-0700-00000A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14312" y="169862"/>
          <a:ext cx="644400" cy="680962"/>
        </a:xfrm>
        <a:prstGeom prst="rect">
          <a:avLst/>
        </a:prstGeom>
        <a:noFill/>
      </xdr:spPr>
    </xdr:pic>
    <xdr:clientData/>
  </xdr:twoCellAnchor>
  <xdr:twoCellAnchor editAs="oneCell">
    <xdr:from>
      <xdr:col>1</xdr:col>
      <xdr:colOff>769937</xdr:colOff>
      <xdr:row>0</xdr:row>
      <xdr:rowOff>230187</xdr:rowOff>
    </xdr:from>
    <xdr:to>
      <xdr:col>2</xdr:col>
      <xdr:colOff>2135188</xdr:colOff>
      <xdr:row>3</xdr:row>
      <xdr:rowOff>174625</xdr:rowOff>
    </xdr:to>
    <xdr:pic>
      <xdr:nvPicPr>
        <xdr:cNvPr id="5" name="Picture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3"/>
        <a:stretch>
          <a:fillRect/>
        </a:stretch>
      </xdr:blipFill>
      <xdr:spPr>
        <a:xfrm>
          <a:off x="920750" y="230187"/>
          <a:ext cx="3508376" cy="5476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55563</xdr:colOff>
      <xdr:row>0</xdr:row>
      <xdr:rowOff>139701</xdr:rowOff>
    </xdr:from>
    <xdr:to>
      <xdr:col>1</xdr:col>
      <xdr:colOff>699963</xdr:colOff>
      <xdr:row>4</xdr:row>
      <xdr:rowOff>23425</xdr:rowOff>
    </xdr:to>
    <xdr:pic>
      <xdr:nvPicPr>
        <xdr:cNvPr id="2" name="Picture 4">
          <a:hlinkClick xmlns:r="http://schemas.openxmlformats.org/officeDocument/2006/relationships" r:id="rId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6376" y="139701"/>
          <a:ext cx="644400" cy="669537"/>
        </a:xfrm>
        <a:prstGeom prst="rect">
          <a:avLst/>
        </a:prstGeom>
        <a:noFill/>
      </xdr:spPr>
    </xdr:pic>
    <xdr:clientData/>
  </xdr:twoCellAnchor>
  <xdr:twoCellAnchor editAs="oneCell">
    <xdr:from>
      <xdr:col>1</xdr:col>
      <xdr:colOff>769938</xdr:colOff>
      <xdr:row>1</xdr:row>
      <xdr:rowOff>0</xdr:rowOff>
    </xdr:from>
    <xdr:to>
      <xdr:col>3</xdr:col>
      <xdr:colOff>15875</xdr:colOff>
      <xdr:row>4</xdr:row>
      <xdr:rowOff>0</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920751" y="238125"/>
          <a:ext cx="3532187" cy="54768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47634</xdr:colOff>
      <xdr:row>0</xdr:row>
      <xdr:rowOff>174626</xdr:rowOff>
    </xdr:from>
    <xdr:to>
      <xdr:col>1</xdr:col>
      <xdr:colOff>692034</xdr:colOff>
      <xdr:row>4</xdr:row>
      <xdr:rowOff>69827</xdr:rowOff>
    </xdr:to>
    <xdr:pic>
      <xdr:nvPicPr>
        <xdr:cNvPr id="2" name="Picture 4">
          <a:hlinkClick xmlns:r="http://schemas.openxmlformats.org/officeDocument/2006/relationships" r:id="rId1"/>
          <a:extLst>
            <a:ext uri="{FF2B5EF4-FFF2-40B4-BE49-F238E27FC236}">
              <a16:creationId xmlns:a16="http://schemas.microsoft.com/office/drawing/2014/main" id="{D3899204-DECC-4660-A8C0-6CAF8A68397D}"/>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98447" y="174626"/>
          <a:ext cx="644400" cy="681014"/>
        </a:xfrm>
        <a:prstGeom prst="rect">
          <a:avLst/>
        </a:prstGeom>
        <a:noFill/>
      </xdr:spPr>
    </xdr:pic>
    <xdr:clientData/>
  </xdr:twoCellAnchor>
  <xdr:twoCellAnchor editAs="oneCell">
    <xdr:from>
      <xdr:col>1</xdr:col>
      <xdr:colOff>754061</xdr:colOff>
      <xdr:row>1</xdr:row>
      <xdr:rowOff>0</xdr:rowOff>
    </xdr:from>
    <xdr:to>
      <xdr:col>3</xdr:col>
      <xdr:colOff>15874</xdr:colOff>
      <xdr:row>4</xdr:row>
      <xdr:rowOff>0</xdr:rowOff>
    </xdr:to>
    <xdr:pic>
      <xdr:nvPicPr>
        <xdr:cNvPr id="3" name="Picture 2">
          <a:extLst>
            <a:ext uri="{FF2B5EF4-FFF2-40B4-BE49-F238E27FC236}">
              <a16:creationId xmlns:a16="http://schemas.microsoft.com/office/drawing/2014/main" id="{A19A6AA3-8372-416D-A802-9E4F52DCCC4B}"/>
            </a:ext>
          </a:extLst>
        </xdr:cNvPr>
        <xdr:cNvPicPr>
          <a:picLocks noChangeAspect="1"/>
        </xdr:cNvPicPr>
      </xdr:nvPicPr>
      <xdr:blipFill>
        <a:blip xmlns:r="http://schemas.openxmlformats.org/officeDocument/2006/relationships" r:embed="rId3"/>
        <a:stretch>
          <a:fillRect/>
        </a:stretch>
      </xdr:blipFill>
      <xdr:spPr>
        <a:xfrm>
          <a:off x="906461" y="234950"/>
          <a:ext cx="3541713" cy="5524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71436</xdr:colOff>
      <xdr:row>0</xdr:row>
      <xdr:rowOff>153986</xdr:rowOff>
    </xdr:from>
    <xdr:to>
      <xdr:col>1</xdr:col>
      <xdr:colOff>715836</xdr:colOff>
      <xdr:row>4</xdr:row>
      <xdr:rowOff>49187</xdr:rowOff>
    </xdr:to>
    <xdr:pic>
      <xdr:nvPicPr>
        <xdr:cNvPr id="2" name="Picture 4">
          <a:hlinkClick xmlns:r="http://schemas.openxmlformats.org/officeDocument/2006/relationships" r:id="rId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22249" y="153986"/>
          <a:ext cx="644400" cy="681014"/>
        </a:xfrm>
        <a:prstGeom prst="rect">
          <a:avLst/>
        </a:prstGeom>
        <a:noFill/>
      </xdr:spPr>
    </xdr:pic>
    <xdr:clientData/>
  </xdr:twoCellAnchor>
  <xdr:twoCellAnchor editAs="oneCell">
    <xdr:from>
      <xdr:col>1</xdr:col>
      <xdr:colOff>754061</xdr:colOff>
      <xdr:row>1</xdr:row>
      <xdr:rowOff>6349</xdr:rowOff>
    </xdr:from>
    <xdr:to>
      <xdr:col>2</xdr:col>
      <xdr:colOff>2119312</xdr:colOff>
      <xdr:row>4</xdr:row>
      <xdr:rowOff>6349</xdr:rowOff>
    </xdr:to>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3"/>
        <a:stretch>
          <a:fillRect/>
        </a:stretch>
      </xdr:blipFill>
      <xdr:spPr>
        <a:xfrm>
          <a:off x="904874" y="244474"/>
          <a:ext cx="3508376" cy="54768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63499</xdr:colOff>
      <xdr:row>0</xdr:row>
      <xdr:rowOff>171449</xdr:rowOff>
    </xdr:from>
    <xdr:to>
      <xdr:col>1</xdr:col>
      <xdr:colOff>707899</xdr:colOff>
      <xdr:row>4</xdr:row>
      <xdr:rowOff>66650</xdr:rowOff>
    </xdr:to>
    <xdr:pic>
      <xdr:nvPicPr>
        <xdr:cNvPr id="2" name="Picture 4">
          <a:hlinkClick xmlns:r="http://schemas.openxmlformats.org/officeDocument/2006/relationships" r:id="rId1"/>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14312" y="171449"/>
          <a:ext cx="644400" cy="681014"/>
        </a:xfrm>
        <a:prstGeom prst="rect">
          <a:avLst/>
        </a:prstGeom>
        <a:noFill/>
      </xdr:spPr>
    </xdr:pic>
    <xdr:clientData/>
  </xdr:twoCellAnchor>
  <xdr:twoCellAnchor editAs="oneCell">
    <xdr:from>
      <xdr:col>1</xdr:col>
      <xdr:colOff>769936</xdr:colOff>
      <xdr:row>0</xdr:row>
      <xdr:rowOff>236539</xdr:rowOff>
    </xdr:from>
    <xdr:to>
      <xdr:col>2</xdr:col>
      <xdr:colOff>2135187</xdr:colOff>
      <xdr:row>3</xdr:row>
      <xdr:rowOff>180977</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a:stretch>
          <a:fillRect/>
        </a:stretch>
      </xdr:blipFill>
      <xdr:spPr>
        <a:xfrm>
          <a:off x="920749" y="236539"/>
          <a:ext cx="3508376" cy="54768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23811</xdr:colOff>
      <xdr:row>0</xdr:row>
      <xdr:rowOff>169862</xdr:rowOff>
    </xdr:from>
    <xdr:to>
      <xdr:col>1</xdr:col>
      <xdr:colOff>668211</xdr:colOff>
      <xdr:row>4</xdr:row>
      <xdr:rowOff>65063</xdr:rowOff>
    </xdr:to>
    <xdr:pic>
      <xdr:nvPicPr>
        <xdr:cNvPr id="2" name="Picture 4">
          <a:hlinkClick xmlns:r="http://schemas.openxmlformats.org/officeDocument/2006/relationships" r:id="rId1"/>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74624" y="169862"/>
          <a:ext cx="644400" cy="681014"/>
        </a:xfrm>
        <a:prstGeom prst="rect">
          <a:avLst/>
        </a:prstGeom>
        <a:noFill/>
      </xdr:spPr>
    </xdr:pic>
    <xdr:clientData/>
  </xdr:twoCellAnchor>
  <xdr:twoCellAnchor editAs="oneCell">
    <xdr:from>
      <xdr:col>1</xdr:col>
      <xdr:colOff>738185</xdr:colOff>
      <xdr:row>1</xdr:row>
      <xdr:rowOff>7939</xdr:rowOff>
    </xdr:from>
    <xdr:to>
      <xdr:col>3</xdr:col>
      <xdr:colOff>7936</xdr:colOff>
      <xdr:row>4</xdr:row>
      <xdr:rowOff>7939</xdr:rowOff>
    </xdr:to>
    <xdr:pic>
      <xdr:nvPicPr>
        <xdr:cNvPr id="4" name="Picture 3">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3"/>
        <a:stretch>
          <a:fillRect/>
        </a:stretch>
      </xdr:blipFill>
      <xdr:spPr>
        <a:xfrm>
          <a:off x="888998" y="246064"/>
          <a:ext cx="3556001" cy="54768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73305</xdr:colOff>
      <xdr:row>0</xdr:row>
      <xdr:rowOff>176491</xdr:rowOff>
    </xdr:from>
    <xdr:to>
      <xdr:col>1</xdr:col>
      <xdr:colOff>717705</xdr:colOff>
      <xdr:row>4</xdr:row>
      <xdr:rowOff>77067</xdr:rowOff>
    </xdr:to>
    <xdr:pic>
      <xdr:nvPicPr>
        <xdr:cNvPr id="2" name="Picture 4">
          <a:hlinkClick xmlns:r="http://schemas.openxmlformats.org/officeDocument/2006/relationships" r:id="rId1"/>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24118" y="176491"/>
          <a:ext cx="644400" cy="686389"/>
        </a:xfrm>
        <a:prstGeom prst="rect">
          <a:avLst/>
        </a:prstGeom>
        <a:noFill/>
      </xdr:spPr>
    </xdr:pic>
    <xdr:clientData/>
  </xdr:twoCellAnchor>
  <xdr:twoCellAnchor editAs="oneCell">
    <xdr:from>
      <xdr:col>1</xdr:col>
      <xdr:colOff>754063</xdr:colOff>
      <xdr:row>1</xdr:row>
      <xdr:rowOff>0</xdr:rowOff>
    </xdr:from>
    <xdr:to>
      <xdr:col>3</xdr:col>
      <xdr:colOff>7936</xdr:colOff>
      <xdr:row>4</xdr:row>
      <xdr:rowOff>0</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3"/>
        <a:stretch>
          <a:fillRect/>
        </a:stretch>
      </xdr:blipFill>
      <xdr:spPr>
        <a:xfrm>
          <a:off x="904876" y="238125"/>
          <a:ext cx="3540123" cy="54768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15875</xdr:colOff>
      <xdr:row>0</xdr:row>
      <xdr:rowOff>147638</xdr:rowOff>
    </xdr:from>
    <xdr:to>
      <xdr:col>1</xdr:col>
      <xdr:colOff>660275</xdr:colOff>
      <xdr:row>4</xdr:row>
      <xdr:rowOff>77843</xdr:rowOff>
    </xdr:to>
    <xdr:pic>
      <xdr:nvPicPr>
        <xdr:cNvPr id="2" name="Picture 4">
          <a:hlinkClick xmlns:r="http://schemas.openxmlformats.org/officeDocument/2006/relationships" r:id="rId1"/>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66688" y="147638"/>
          <a:ext cx="644400" cy="716018"/>
        </a:xfrm>
        <a:prstGeom prst="rect">
          <a:avLst/>
        </a:prstGeom>
        <a:noFill/>
      </xdr:spPr>
    </xdr:pic>
    <xdr:clientData/>
  </xdr:twoCellAnchor>
  <xdr:twoCellAnchor editAs="oneCell">
    <xdr:from>
      <xdr:col>1</xdr:col>
      <xdr:colOff>754063</xdr:colOff>
      <xdr:row>1</xdr:row>
      <xdr:rowOff>0</xdr:rowOff>
    </xdr:from>
    <xdr:to>
      <xdr:col>3</xdr:col>
      <xdr:colOff>15875</xdr:colOff>
      <xdr:row>4</xdr:row>
      <xdr:rowOff>0</xdr:rowOff>
    </xdr:to>
    <xdr:pic>
      <xdr:nvPicPr>
        <xdr:cNvPr id="4" name="Picture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3"/>
        <a:stretch>
          <a:fillRect/>
        </a:stretch>
      </xdr:blipFill>
      <xdr:spPr>
        <a:xfrm>
          <a:off x="904876" y="238125"/>
          <a:ext cx="3548062" cy="54768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31751</xdr:colOff>
      <xdr:row>0</xdr:row>
      <xdr:rowOff>169863</xdr:rowOff>
    </xdr:from>
    <xdr:to>
      <xdr:col>1</xdr:col>
      <xdr:colOff>676151</xdr:colOff>
      <xdr:row>4</xdr:row>
      <xdr:rowOff>60653</xdr:rowOff>
    </xdr:to>
    <xdr:pic>
      <xdr:nvPicPr>
        <xdr:cNvPr id="2" name="Picture 4">
          <a:hlinkClick xmlns:r="http://schemas.openxmlformats.org/officeDocument/2006/relationships" r:id="rId1"/>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82564" y="169863"/>
          <a:ext cx="644400" cy="676603"/>
        </a:xfrm>
        <a:prstGeom prst="rect">
          <a:avLst/>
        </a:prstGeom>
        <a:noFill/>
      </xdr:spPr>
    </xdr:pic>
    <xdr:clientData/>
  </xdr:twoCellAnchor>
  <xdr:twoCellAnchor editAs="oneCell">
    <xdr:from>
      <xdr:col>1</xdr:col>
      <xdr:colOff>762000</xdr:colOff>
      <xdr:row>0</xdr:row>
      <xdr:rowOff>571500</xdr:rowOff>
    </xdr:from>
    <xdr:to>
      <xdr:col>2</xdr:col>
      <xdr:colOff>2127251</xdr:colOff>
      <xdr:row>3</xdr:row>
      <xdr:rowOff>179388</xdr:rowOff>
    </xdr:to>
    <xdr:pic>
      <xdr:nvPicPr>
        <xdr:cNvPr id="4" name="Picture 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3"/>
        <a:stretch>
          <a:fillRect/>
        </a:stretch>
      </xdr:blipFill>
      <xdr:spPr>
        <a:xfrm>
          <a:off x="912813" y="571500"/>
          <a:ext cx="3508376" cy="547688"/>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55563</xdr:colOff>
      <xdr:row>0</xdr:row>
      <xdr:rowOff>128587</xdr:rowOff>
    </xdr:from>
    <xdr:to>
      <xdr:col>1</xdr:col>
      <xdr:colOff>699963</xdr:colOff>
      <xdr:row>4</xdr:row>
      <xdr:rowOff>54899</xdr:rowOff>
    </xdr:to>
    <xdr:pic>
      <xdr:nvPicPr>
        <xdr:cNvPr id="2" name="Picture 4">
          <a:hlinkClick xmlns:r="http://schemas.openxmlformats.org/officeDocument/2006/relationships" r:id="rId1"/>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6376" y="128587"/>
          <a:ext cx="644400" cy="712125"/>
        </a:xfrm>
        <a:prstGeom prst="rect">
          <a:avLst/>
        </a:prstGeom>
        <a:noFill/>
      </xdr:spPr>
    </xdr:pic>
    <xdr:clientData/>
  </xdr:twoCellAnchor>
  <xdr:twoCellAnchor editAs="oneCell">
    <xdr:from>
      <xdr:col>1</xdr:col>
      <xdr:colOff>754062</xdr:colOff>
      <xdr:row>0</xdr:row>
      <xdr:rowOff>230188</xdr:rowOff>
    </xdr:from>
    <xdr:to>
      <xdr:col>2</xdr:col>
      <xdr:colOff>2119313</xdr:colOff>
      <xdr:row>3</xdr:row>
      <xdr:rowOff>174626</xdr:rowOff>
    </xdr:to>
    <xdr:pic>
      <xdr:nvPicPr>
        <xdr:cNvPr id="4" name="Picture 3">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3"/>
        <a:stretch>
          <a:fillRect/>
        </a:stretch>
      </xdr:blipFill>
      <xdr:spPr>
        <a:xfrm>
          <a:off x="904875" y="230188"/>
          <a:ext cx="3508376" cy="547688"/>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63499</xdr:colOff>
      <xdr:row>0</xdr:row>
      <xdr:rowOff>112713</xdr:rowOff>
    </xdr:from>
    <xdr:to>
      <xdr:col>1</xdr:col>
      <xdr:colOff>707899</xdr:colOff>
      <xdr:row>4</xdr:row>
      <xdr:rowOff>36622</xdr:rowOff>
    </xdr:to>
    <xdr:pic>
      <xdr:nvPicPr>
        <xdr:cNvPr id="6" name="Picture 4">
          <a:hlinkClick xmlns:r="http://schemas.openxmlformats.org/officeDocument/2006/relationships" r:id="rId1"/>
          <a:extLst>
            <a:ext uri="{FF2B5EF4-FFF2-40B4-BE49-F238E27FC236}">
              <a16:creationId xmlns:a16="http://schemas.microsoft.com/office/drawing/2014/main" id="{00000000-0008-0000-1200-000006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14312" y="112713"/>
          <a:ext cx="644400" cy="709722"/>
        </a:xfrm>
        <a:prstGeom prst="rect">
          <a:avLst/>
        </a:prstGeom>
        <a:noFill/>
      </xdr:spPr>
    </xdr:pic>
    <xdr:clientData/>
  </xdr:twoCellAnchor>
  <xdr:twoCellAnchor editAs="oneCell">
    <xdr:from>
      <xdr:col>1</xdr:col>
      <xdr:colOff>754062</xdr:colOff>
      <xdr:row>0</xdr:row>
      <xdr:rowOff>492125</xdr:rowOff>
    </xdr:from>
    <xdr:to>
      <xdr:col>2</xdr:col>
      <xdr:colOff>2119313</xdr:colOff>
      <xdr:row>3</xdr:row>
      <xdr:rowOff>176213</xdr:rowOff>
    </xdr:to>
    <xdr:pic>
      <xdr:nvPicPr>
        <xdr:cNvPr id="8" name="Picture 7">
          <a:extLst>
            <a:ext uri="{FF2B5EF4-FFF2-40B4-BE49-F238E27FC236}">
              <a16:creationId xmlns:a16="http://schemas.microsoft.com/office/drawing/2014/main" id="{00000000-0008-0000-1200-000008000000}"/>
            </a:ext>
          </a:extLst>
        </xdr:cNvPr>
        <xdr:cNvPicPr>
          <a:picLocks noChangeAspect="1"/>
        </xdr:cNvPicPr>
      </xdr:nvPicPr>
      <xdr:blipFill>
        <a:blip xmlns:r="http://schemas.openxmlformats.org/officeDocument/2006/relationships" r:embed="rId3"/>
        <a:stretch>
          <a:fillRect/>
        </a:stretch>
      </xdr:blipFill>
      <xdr:spPr>
        <a:xfrm>
          <a:off x="904875" y="492125"/>
          <a:ext cx="3508376" cy="547688"/>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67952</xdr:colOff>
      <xdr:row>0</xdr:row>
      <xdr:rowOff>126380</xdr:rowOff>
    </xdr:from>
    <xdr:to>
      <xdr:col>1</xdr:col>
      <xdr:colOff>712352</xdr:colOff>
      <xdr:row>4</xdr:row>
      <xdr:rowOff>50704</xdr:rowOff>
    </xdr:to>
    <xdr:pic>
      <xdr:nvPicPr>
        <xdr:cNvPr id="2" name="Picture 4">
          <a:hlinkClick xmlns:r="http://schemas.openxmlformats.org/officeDocument/2006/relationships" r:id="rId1"/>
          <a:extLst>
            <a:ext uri="{FF2B5EF4-FFF2-40B4-BE49-F238E27FC236}">
              <a16:creationId xmlns:a16="http://schemas.microsoft.com/office/drawing/2014/main" id="{00000000-0008-0000-1300-00000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18765" y="126380"/>
          <a:ext cx="644400" cy="710137"/>
        </a:xfrm>
        <a:prstGeom prst="rect">
          <a:avLst/>
        </a:prstGeom>
        <a:noFill/>
      </xdr:spPr>
    </xdr:pic>
    <xdr:clientData/>
  </xdr:twoCellAnchor>
  <xdr:twoCellAnchor editAs="oneCell">
    <xdr:from>
      <xdr:col>1</xdr:col>
      <xdr:colOff>759677</xdr:colOff>
      <xdr:row>0</xdr:row>
      <xdr:rowOff>229800</xdr:rowOff>
    </xdr:from>
    <xdr:to>
      <xdr:col>2</xdr:col>
      <xdr:colOff>2127444</xdr:colOff>
      <xdr:row>3</xdr:row>
      <xdr:rowOff>164365</xdr:rowOff>
    </xdr:to>
    <xdr:pic>
      <xdr:nvPicPr>
        <xdr:cNvPr id="4" name="Picture 3">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3"/>
        <a:stretch>
          <a:fillRect/>
        </a:stretch>
      </xdr:blipFill>
      <xdr:spPr>
        <a:xfrm>
          <a:off x="910490" y="229800"/>
          <a:ext cx="3510892" cy="53781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134938</xdr:colOff>
      <xdr:row>0</xdr:row>
      <xdr:rowOff>130173</xdr:rowOff>
    </xdr:from>
    <xdr:to>
      <xdr:col>1</xdr:col>
      <xdr:colOff>732559</xdr:colOff>
      <xdr:row>4</xdr:row>
      <xdr:rowOff>80323</xdr:rowOff>
    </xdr:to>
    <xdr:pic>
      <xdr:nvPicPr>
        <xdr:cNvPr id="2" name="Picture 4">
          <a:hlinkClick xmlns:r="http://schemas.openxmlformats.org/officeDocument/2006/relationships" r:id="rId1"/>
          <a:extLst>
            <a:ext uri="{FF2B5EF4-FFF2-40B4-BE49-F238E27FC236}">
              <a16:creationId xmlns:a16="http://schemas.microsoft.com/office/drawing/2014/main" id="{00000000-0008-0000-1400-00000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34938" y="130173"/>
          <a:ext cx="748434" cy="680400"/>
        </a:xfrm>
        <a:prstGeom prst="rect">
          <a:avLst/>
        </a:prstGeom>
        <a:noFill/>
      </xdr:spPr>
    </xdr:pic>
    <xdr:clientData/>
  </xdr:twoCellAnchor>
  <xdr:twoCellAnchor editAs="oneCell">
    <xdr:from>
      <xdr:col>1</xdr:col>
      <xdr:colOff>762000</xdr:colOff>
      <xdr:row>0</xdr:row>
      <xdr:rowOff>563562</xdr:rowOff>
    </xdr:from>
    <xdr:to>
      <xdr:col>2</xdr:col>
      <xdr:colOff>2129767</xdr:colOff>
      <xdr:row>3</xdr:row>
      <xdr:rowOff>172689</xdr:rowOff>
    </xdr:to>
    <xdr:pic>
      <xdr:nvPicPr>
        <xdr:cNvPr id="4" name="Picture 3">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3"/>
        <a:stretch>
          <a:fillRect/>
        </a:stretch>
      </xdr:blipFill>
      <xdr:spPr>
        <a:xfrm>
          <a:off x="912813" y="563562"/>
          <a:ext cx="3510892" cy="53781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134938</xdr:colOff>
      <xdr:row>0</xdr:row>
      <xdr:rowOff>130173</xdr:rowOff>
    </xdr:from>
    <xdr:to>
      <xdr:col>1</xdr:col>
      <xdr:colOff>732559</xdr:colOff>
      <xdr:row>4</xdr:row>
      <xdr:rowOff>75560</xdr:rowOff>
    </xdr:to>
    <xdr:pic>
      <xdr:nvPicPr>
        <xdr:cNvPr id="2" name="Picture 4">
          <a:hlinkClick xmlns:r="http://schemas.openxmlformats.org/officeDocument/2006/relationships" r:id="rId1"/>
          <a:extLst>
            <a:ext uri="{FF2B5EF4-FFF2-40B4-BE49-F238E27FC236}">
              <a16:creationId xmlns:a16="http://schemas.microsoft.com/office/drawing/2014/main" id="{00000000-0008-0000-1500-00000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34938" y="130173"/>
          <a:ext cx="750021" cy="681987"/>
        </a:xfrm>
        <a:prstGeom prst="rect">
          <a:avLst/>
        </a:prstGeom>
        <a:noFill/>
      </xdr:spPr>
    </xdr:pic>
    <xdr:clientData/>
  </xdr:twoCellAnchor>
  <xdr:twoCellAnchor editAs="oneCell">
    <xdr:from>
      <xdr:col>1</xdr:col>
      <xdr:colOff>762000</xdr:colOff>
      <xdr:row>0</xdr:row>
      <xdr:rowOff>563562</xdr:rowOff>
    </xdr:from>
    <xdr:to>
      <xdr:col>2</xdr:col>
      <xdr:colOff>2129767</xdr:colOff>
      <xdr:row>3</xdr:row>
      <xdr:rowOff>167927</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3"/>
        <a:stretch>
          <a:fillRect/>
        </a:stretch>
      </xdr:blipFill>
      <xdr:spPr>
        <a:xfrm>
          <a:off x="914400" y="233362"/>
          <a:ext cx="3507717" cy="53781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134938</xdr:colOff>
      <xdr:row>0</xdr:row>
      <xdr:rowOff>130173</xdr:rowOff>
    </xdr:from>
    <xdr:to>
      <xdr:col>1</xdr:col>
      <xdr:colOff>670398</xdr:colOff>
      <xdr:row>4</xdr:row>
      <xdr:rowOff>23813</xdr:rowOff>
    </xdr:to>
    <xdr:pic>
      <xdr:nvPicPr>
        <xdr:cNvPr id="2" name="Picture 4">
          <a:hlinkClick xmlns:r="http://schemas.openxmlformats.org/officeDocument/2006/relationships" r:id="rId1"/>
          <a:extLst>
            <a:ext uri="{FF2B5EF4-FFF2-40B4-BE49-F238E27FC236}">
              <a16:creationId xmlns:a16="http://schemas.microsoft.com/office/drawing/2014/main" id="{C1BF5780-8D4D-4889-B1AE-AC0529FEEB1C}"/>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34938" y="130173"/>
          <a:ext cx="686273" cy="623890"/>
        </a:xfrm>
        <a:prstGeom prst="rect">
          <a:avLst/>
        </a:prstGeom>
        <a:noFill/>
      </xdr:spPr>
    </xdr:pic>
    <xdr:clientData/>
  </xdr:twoCellAnchor>
  <xdr:twoCellAnchor editAs="oneCell">
    <xdr:from>
      <xdr:col>1</xdr:col>
      <xdr:colOff>746124</xdr:colOff>
      <xdr:row>1</xdr:row>
      <xdr:rowOff>-1</xdr:rowOff>
    </xdr:from>
    <xdr:to>
      <xdr:col>2</xdr:col>
      <xdr:colOff>2325687</xdr:colOff>
      <xdr:row>3</xdr:row>
      <xdr:rowOff>172689</xdr:rowOff>
    </xdr:to>
    <xdr:pic>
      <xdr:nvPicPr>
        <xdr:cNvPr id="3" name="Picture 2">
          <a:extLst>
            <a:ext uri="{FF2B5EF4-FFF2-40B4-BE49-F238E27FC236}">
              <a16:creationId xmlns:a16="http://schemas.microsoft.com/office/drawing/2014/main" id="{993C9088-D80F-479E-BAFA-2EBF90F12621}"/>
            </a:ext>
          </a:extLst>
        </xdr:cNvPr>
        <xdr:cNvPicPr>
          <a:picLocks noChangeAspect="1"/>
        </xdr:cNvPicPr>
      </xdr:nvPicPr>
      <xdr:blipFill>
        <a:blip xmlns:r="http://schemas.openxmlformats.org/officeDocument/2006/relationships" r:embed="rId3"/>
        <a:stretch>
          <a:fillRect/>
        </a:stretch>
      </xdr:blipFill>
      <xdr:spPr>
        <a:xfrm>
          <a:off x="896937" y="182562"/>
          <a:ext cx="3722688" cy="53781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39687</xdr:colOff>
      <xdr:row>0</xdr:row>
      <xdr:rowOff>134936</xdr:rowOff>
    </xdr:from>
    <xdr:to>
      <xdr:col>1</xdr:col>
      <xdr:colOff>684087</xdr:colOff>
      <xdr:row>4</xdr:row>
      <xdr:rowOff>30137</xdr:rowOff>
    </xdr:to>
    <xdr:pic>
      <xdr:nvPicPr>
        <xdr:cNvPr id="2" name="Picture 4">
          <a:hlinkClick xmlns:r="http://schemas.openxmlformats.org/officeDocument/2006/relationships" r:id="rId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90500" y="134936"/>
          <a:ext cx="644400" cy="681014"/>
        </a:xfrm>
        <a:prstGeom prst="rect">
          <a:avLst/>
        </a:prstGeom>
        <a:noFill/>
      </xdr:spPr>
    </xdr:pic>
    <xdr:clientData/>
  </xdr:twoCellAnchor>
  <xdr:twoCellAnchor editAs="oneCell">
    <xdr:from>
      <xdr:col>1</xdr:col>
      <xdr:colOff>754061</xdr:colOff>
      <xdr:row>1</xdr:row>
      <xdr:rowOff>0</xdr:rowOff>
    </xdr:from>
    <xdr:to>
      <xdr:col>3</xdr:col>
      <xdr:colOff>15874</xdr:colOff>
      <xdr:row>4</xdr:row>
      <xdr:rowOff>0</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3"/>
        <a:stretch>
          <a:fillRect/>
        </a:stretch>
      </xdr:blipFill>
      <xdr:spPr>
        <a:xfrm>
          <a:off x="904874" y="238125"/>
          <a:ext cx="3548063" cy="547688"/>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39687</xdr:colOff>
      <xdr:row>0</xdr:row>
      <xdr:rowOff>134936</xdr:rowOff>
    </xdr:from>
    <xdr:to>
      <xdr:col>1</xdr:col>
      <xdr:colOff>715837</xdr:colOff>
      <xdr:row>4</xdr:row>
      <xdr:rowOff>80937</xdr:rowOff>
    </xdr:to>
    <xdr:pic>
      <xdr:nvPicPr>
        <xdr:cNvPr id="2" name="Picture 4">
          <a:hlinkClick xmlns:r="http://schemas.openxmlformats.org/officeDocument/2006/relationships" r:id="rId1"/>
          <a:extLst>
            <a:ext uri="{FF2B5EF4-FFF2-40B4-BE49-F238E27FC236}">
              <a16:creationId xmlns:a16="http://schemas.microsoft.com/office/drawing/2014/main" id="{D4013110-8DCC-46BA-98A0-6E5247CFB631}"/>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92087" y="134936"/>
          <a:ext cx="644400" cy="682601"/>
        </a:xfrm>
        <a:prstGeom prst="rect">
          <a:avLst/>
        </a:prstGeom>
        <a:noFill/>
      </xdr:spPr>
    </xdr:pic>
    <xdr:clientData/>
  </xdr:twoCellAnchor>
  <xdr:twoCellAnchor editAs="oneCell">
    <xdr:from>
      <xdr:col>1</xdr:col>
      <xdr:colOff>754062</xdr:colOff>
      <xdr:row>1</xdr:row>
      <xdr:rowOff>0</xdr:rowOff>
    </xdr:from>
    <xdr:to>
      <xdr:col>3</xdr:col>
      <xdr:colOff>7938</xdr:colOff>
      <xdr:row>4</xdr:row>
      <xdr:rowOff>0</xdr:rowOff>
    </xdr:to>
    <xdr:pic>
      <xdr:nvPicPr>
        <xdr:cNvPr id="3" name="Picture 2">
          <a:extLst>
            <a:ext uri="{FF2B5EF4-FFF2-40B4-BE49-F238E27FC236}">
              <a16:creationId xmlns:a16="http://schemas.microsoft.com/office/drawing/2014/main" id="{DE35A4C4-9F39-4B7B-AC09-06D6960CE285}"/>
            </a:ext>
          </a:extLst>
        </xdr:cNvPr>
        <xdr:cNvPicPr>
          <a:picLocks noChangeAspect="1"/>
        </xdr:cNvPicPr>
      </xdr:nvPicPr>
      <xdr:blipFill>
        <a:blip xmlns:r="http://schemas.openxmlformats.org/officeDocument/2006/relationships" r:embed="rId3"/>
        <a:stretch>
          <a:fillRect/>
        </a:stretch>
      </xdr:blipFill>
      <xdr:spPr>
        <a:xfrm>
          <a:off x="904875" y="238125"/>
          <a:ext cx="3540126" cy="54768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93276"/>
  </sheetPr>
  <dimension ref="A1"/>
  <sheetViews>
    <sheetView showGridLines="0" showRowColHeaders="0" tabSelected="1" zoomScale="80" zoomScaleNormal="80" workbookViewId="0">
      <selection activeCell="S5" sqref="S5"/>
    </sheetView>
  </sheetViews>
  <sheetFormatPr defaultColWidth="9.1796875" defaultRowHeight="14.5" x14ac:dyDescent="0.35"/>
  <sheetData>
    <row r="1" ht="13" customHeight="1" x14ac:dyDescent="0.3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293276"/>
  </sheetPr>
  <dimension ref="B1:G25"/>
  <sheetViews>
    <sheetView showGridLines="0" zoomScale="80" zoomScaleNormal="80" workbookViewId="0">
      <selection activeCell="B2" sqref="B2:C2"/>
    </sheetView>
  </sheetViews>
  <sheetFormatPr defaultRowHeight="14.5" x14ac:dyDescent="0.35"/>
  <cols>
    <col min="1" max="1" width="2.1796875" style="62" customWidth="1"/>
    <col min="2" max="2" width="9.26953125" style="62" customWidth="1"/>
    <col min="3" max="3" width="24.54296875" style="66" customWidth="1"/>
    <col min="4" max="4" width="116" style="67" customWidth="1"/>
    <col min="5" max="5" width="13.453125" style="68" customWidth="1"/>
    <col min="6" max="6" width="3.7265625" style="62" customWidth="1"/>
    <col min="7" max="7" width="27.453125" style="62" customWidth="1"/>
    <col min="8" max="16384" width="8.7265625" style="62"/>
  </cols>
  <sheetData>
    <row r="1" spans="2:7" s="58" customFormat="1" ht="59" customHeight="1" thickBot="1" x14ac:dyDescent="0.4">
      <c r="C1" s="59"/>
      <c r="D1" s="60"/>
      <c r="E1" s="61"/>
      <c r="F1" s="60"/>
    </row>
    <row r="2" spans="2:7" ht="41.25" customHeight="1" thickBot="1" x14ac:dyDescent="0.4">
      <c r="B2" s="181" t="s">
        <v>663</v>
      </c>
      <c r="C2" s="182"/>
      <c r="D2" s="143" t="s">
        <v>84</v>
      </c>
      <c r="E2" s="141" t="s">
        <v>664</v>
      </c>
    </row>
    <row r="3" spans="2:7" ht="70" customHeight="1" thickBot="1" x14ac:dyDescent="0.4">
      <c r="B3" s="161"/>
      <c r="C3" s="162" t="s">
        <v>85</v>
      </c>
      <c r="D3" s="63" t="s">
        <v>465</v>
      </c>
      <c r="E3" s="163">
        <f>' (0) Customer Relationship Mgmt'!G3</f>
        <v>59</v>
      </c>
      <c r="G3" s="144" t="s">
        <v>3705</v>
      </c>
    </row>
    <row r="4" spans="2:7" ht="70" customHeight="1" thickBot="1" x14ac:dyDescent="0.4">
      <c r="B4" s="161"/>
      <c r="C4" s="162" t="s">
        <v>459</v>
      </c>
      <c r="D4" s="63" t="s">
        <v>1685</v>
      </c>
      <c r="E4" s="163">
        <f>'(1) Retail Banking Processes'!G3</f>
        <v>166</v>
      </c>
    </row>
    <row r="5" spans="2:7" ht="70" customHeight="1" thickBot="1" x14ac:dyDescent="0.4">
      <c r="B5" s="161"/>
      <c r="C5" s="162" t="s">
        <v>1686</v>
      </c>
      <c r="D5" s="63" t="s">
        <v>5276</v>
      </c>
      <c r="E5" s="163">
        <f>'(2) Corporate Banking Processes'!G3</f>
        <v>238</v>
      </c>
    </row>
    <row r="6" spans="2:7" ht="70" customHeight="1" thickBot="1" x14ac:dyDescent="0.4">
      <c r="B6" s="161"/>
      <c r="C6" s="162" t="s">
        <v>460</v>
      </c>
      <c r="D6" s="63" t="s">
        <v>466</v>
      </c>
      <c r="E6" s="163">
        <f>'(3) Transactional Processes'!G3</f>
        <v>496</v>
      </c>
    </row>
    <row r="7" spans="2:7" ht="70" customHeight="1" thickBot="1" x14ac:dyDescent="0.4">
      <c r="B7" s="161"/>
      <c r="C7" s="162" t="s">
        <v>461</v>
      </c>
      <c r="D7" s="63" t="s">
        <v>344</v>
      </c>
      <c r="E7" s="163">
        <f>'(4) Treasury Processes'!G3</f>
        <v>79</v>
      </c>
    </row>
    <row r="8" spans="2:7" ht="70" customHeight="1" thickBot="1" x14ac:dyDescent="0.4">
      <c r="B8" s="161"/>
      <c r="C8" s="162" t="s">
        <v>458</v>
      </c>
      <c r="D8" s="63" t="s">
        <v>662</v>
      </c>
      <c r="E8" s="163">
        <f>'(5) Private Wealth Management'!G3</f>
        <v>319</v>
      </c>
    </row>
    <row r="9" spans="2:7" ht="70" customHeight="1" thickBot="1" x14ac:dyDescent="0.4">
      <c r="B9" s="161"/>
      <c r="C9" s="162" t="s">
        <v>1079</v>
      </c>
      <c r="D9" s="63" t="s">
        <v>2336</v>
      </c>
      <c r="E9" s="163">
        <f>'(6) Online Channels'!G3</f>
        <v>116</v>
      </c>
    </row>
    <row r="10" spans="2:7" ht="70" customHeight="1" thickBot="1" x14ac:dyDescent="0.4">
      <c r="B10" s="161"/>
      <c r="C10" s="162" t="s">
        <v>462</v>
      </c>
      <c r="D10" s="63" t="s">
        <v>463</v>
      </c>
      <c r="E10" s="163">
        <f>'(7) Security Management (SMS)'!G3</f>
        <v>5</v>
      </c>
    </row>
    <row r="11" spans="2:7" ht="70" customHeight="1" thickBot="1" x14ac:dyDescent="0.4">
      <c r="B11" s="161"/>
      <c r="C11" s="162" t="s">
        <v>483</v>
      </c>
      <c r="D11" s="63" t="s">
        <v>345</v>
      </c>
      <c r="E11" s="163">
        <f>'(8) Financial Accounting'!G3</f>
        <v>34</v>
      </c>
    </row>
    <row r="12" spans="2:7" ht="70" customHeight="1" thickBot="1" x14ac:dyDescent="0.4">
      <c r="B12" s="160"/>
      <c r="C12" s="159" t="s">
        <v>464</v>
      </c>
      <c r="D12" s="63" t="s">
        <v>1919</v>
      </c>
      <c r="E12" s="163">
        <f>'(9) Core Parameters'!G3</f>
        <v>9</v>
      </c>
    </row>
    <row r="13" spans="2:7" ht="70" customHeight="1" thickBot="1" x14ac:dyDescent="0.4">
      <c r="B13" s="160"/>
      <c r="C13" s="159" t="s">
        <v>1850</v>
      </c>
      <c r="D13" s="63" t="s">
        <v>940</v>
      </c>
      <c r="E13" s="163">
        <f>'(10) Islamic Banking'!G3</f>
        <v>134</v>
      </c>
    </row>
    <row r="14" spans="2:7" ht="183" customHeight="1" thickBot="1" x14ac:dyDescent="0.4">
      <c r="B14" s="176"/>
      <c r="C14" s="159" t="s">
        <v>5100</v>
      </c>
      <c r="D14" s="63" t="s">
        <v>5660</v>
      </c>
      <c r="E14" s="163">
        <f>'(11) Regionalized Solution'!G3</f>
        <v>268</v>
      </c>
    </row>
    <row r="15" spans="2:7" ht="70" customHeight="1" thickBot="1" x14ac:dyDescent="0.4">
      <c r="B15" s="160"/>
      <c r="C15" s="159" t="s">
        <v>1687</v>
      </c>
      <c r="D15" s="63" t="s">
        <v>1418</v>
      </c>
      <c r="E15" s="163">
        <f>'(12) Digital Engagement'!G3</f>
        <v>22</v>
      </c>
    </row>
    <row r="16" spans="2:7" ht="70" customHeight="1" thickBot="1" x14ac:dyDescent="0.4">
      <c r="B16" s="160"/>
      <c r="C16" s="159" t="s">
        <v>3679</v>
      </c>
      <c r="D16" s="64" t="s">
        <v>3706</v>
      </c>
      <c r="E16" s="163">
        <f>'(13) Reporting and Compliance'!G3</f>
        <v>66</v>
      </c>
    </row>
    <row r="17" spans="2:5" ht="70" customHeight="1" thickBot="1" x14ac:dyDescent="0.4">
      <c r="B17" s="160"/>
      <c r="C17" s="159" t="s">
        <v>2034</v>
      </c>
      <c r="D17" s="65" t="s">
        <v>2277</v>
      </c>
      <c r="E17" s="163">
        <f>'(14) Financial Crime Mitigation'!G3</f>
        <v>74</v>
      </c>
    </row>
    <row r="18" spans="2:5" ht="70" customHeight="1" thickBot="1" x14ac:dyDescent="0.4">
      <c r="B18" s="160"/>
      <c r="C18" s="159" t="s">
        <v>2153</v>
      </c>
      <c r="D18" s="65" t="s">
        <v>2193</v>
      </c>
      <c r="E18" s="163">
        <f>'(15) Fund Accounting Processes'!G3</f>
        <v>69</v>
      </c>
    </row>
    <row r="19" spans="2:5" ht="70" customHeight="1" thickBot="1" x14ac:dyDescent="0.4">
      <c r="B19" s="160"/>
      <c r="C19" s="159" t="s">
        <v>4745</v>
      </c>
      <c r="D19" s="65" t="s">
        <v>4796</v>
      </c>
      <c r="E19" s="163">
        <f>'(16) Digital Banking (Infinity)'!G3</f>
        <v>46</v>
      </c>
    </row>
    <row r="20" spans="2:5" ht="119" customHeight="1" thickBot="1" x14ac:dyDescent="0.4">
      <c r="B20" s="160"/>
      <c r="C20" s="159" t="s">
        <v>3261</v>
      </c>
      <c r="D20" s="150" t="s">
        <v>4196</v>
      </c>
      <c r="E20" s="163">
        <f xml:space="preserve"> '(17) Temenos Banking Solution'!G3</f>
        <v>75</v>
      </c>
    </row>
    <row r="21" spans="2:5" ht="69.5" customHeight="1" thickBot="1" x14ac:dyDescent="0.4">
      <c r="B21" s="160"/>
      <c r="C21" s="159" t="s">
        <v>3753</v>
      </c>
      <c r="D21" s="63" t="s">
        <v>4257</v>
      </c>
      <c r="E21" s="163">
        <f xml:space="preserve"> '(18) Business Banking Processes'!G3</f>
        <v>34</v>
      </c>
    </row>
    <row r="22" spans="2:5" ht="74.5" customHeight="1" thickBot="1" x14ac:dyDescent="0.4">
      <c r="B22" s="160"/>
      <c r="C22" s="159" t="s">
        <v>4124</v>
      </c>
      <c r="D22" s="63" t="s">
        <v>4625</v>
      </c>
      <c r="E22" s="163">
        <f>'(19) Enterprise Services'!G3</f>
        <v>157</v>
      </c>
    </row>
    <row r="23" spans="2:5" ht="75.5" customHeight="1" thickBot="1" x14ac:dyDescent="0.4">
      <c r="B23" s="160"/>
      <c r="C23" s="159" t="s">
        <v>4445</v>
      </c>
      <c r="D23" s="172" t="s">
        <v>4449</v>
      </c>
      <c r="E23" s="163">
        <f>'(20) Financial Risk (FRM)  '!G3</f>
        <v>19</v>
      </c>
    </row>
    <row r="24" spans="2:5" ht="73.5" customHeight="1" thickBot="1" x14ac:dyDescent="0.4">
      <c r="B24" s="160"/>
      <c r="C24" s="159" t="s">
        <v>4681</v>
      </c>
      <c r="D24" s="63" t="s">
        <v>5430</v>
      </c>
      <c r="E24" s="163">
        <f>'(21) Platform Based Approach'!G3</f>
        <v>275</v>
      </c>
    </row>
    <row r="25" spans="2:5" ht="31" customHeight="1" thickBot="1" x14ac:dyDescent="0.4">
      <c r="E25" s="142">
        <f>SUM(E3:E24)</f>
        <v>2760</v>
      </c>
    </row>
  </sheetData>
  <mergeCells count="1">
    <mergeCell ref="B2:C2"/>
  </mergeCell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293276"/>
  </sheetPr>
  <dimension ref="B1:G79"/>
  <sheetViews>
    <sheetView showGridLines="0" zoomScale="80" zoomScaleNormal="80" workbookViewId="0">
      <selection activeCell="C2" sqref="C2"/>
    </sheetView>
  </sheetViews>
  <sheetFormatPr defaultColWidth="9.1796875" defaultRowHeight="14.5" outlineLevelRow="1" x14ac:dyDescent="0.35"/>
  <cols>
    <col min="1" max="1" width="2.1796875" style="9" customWidth="1"/>
    <col min="2" max="2" width="30.6328125" style="33" customWidth="1"/>
    <col min="3" max="3" width="30.6328125" style="28" customWidth="1"/>
    <col min="4" max="4" width="50.6328125" style="34" customWidth="1"/>
    <col min="5" max="5" width="76.6328125" style="35" customWidth="1"/>
    <col min="6" max="6" width="2.1796875" style="35" customWidth="1"/>
    <col min="7" max="7" width="9.1796875" style="9" customWidth="1"/>
    <col min="8" max="8" width="27.81640625" style="9" customWidth="1"/>
    <col min="9" max="16384" width="9.1796875" style="9"/>
  </cols>
  <sheetData>
    <row r="1" spans="2:7" ht="18.5" customHeight="1" x14ac:dyDescent="0.5">
      <c r="B1" s="40"/>
      <c r="C1" s="5"/>
      <c r="D1" s="6"/>
      <c r="E1" s="7"/>
      <c r="F1" s="7"/>
      <c r="G1" s="8"/>
    </row>
    <row r="2" spans="2:7" ht="14.5" customHeight="1" x14ac:dyDescent="0.35">
      <c r="B2" s="187"/>
      <c r="C2" s="40"/>
      <c r="D2" s="146" t="s">
        <v>41</v>
      </c>
      <c r="E2" s="11" t="s">
        <v>240</v>
      </c>
      <c r="F2" s="12"/>
      <c r="G2" s="13" t="s">
        <v>342</v>
      </c>
    </row>
    <row r="3" spans="2:7" ht="14.5" customHeight="1" x14ac:dyDescent="0.35">
      <c r="B3" s="187"/>
      <c r="C3" s="40"/>
      <c r="D3" s="146" t="s">
        <v>241</v>
      </c>
      <c r="E3" s="11">
        <f>COUNTIF(E8:E79,"*")</f>
        <v>59</v>
      </c>
      <c r="F3" s="12"/>
      <c r="G3" s="185">
        <f>COUNTIF(G8:G79,"Yes")</f>
        <v>59</v>
      </c>
    </row>
    <row r="4" spans="2:7" ht="14.5" customHeight="1" x14ac:dyDescent="0.35">
      <c r="B4" s="187"/>
      <c r="C4" s="40"/>
      <c r="D4" s="146" t="s">
        <v>79</v>
      </c>
      <c r="E4" s="15" t="s">
        <v>5676</v>
      </c>
      <c r="F4" s="12"/>
      <c r="G4" s="186"/>
    </row>
    <row r="5" spans="2:7" ht="18.5" customHeight="1" x14ac:dyDescent="0.35">
      <c r="B5" s="145"/>
      <c r="C5" s="145"/>
      <c r="D5" s="16"/>
      <c r="E5" s="17"/>
      <c r="F5" s="17"/>
    </row>
    <row r="6" spans="2:7" x14ac:dyDescent="0.35">
      <c r="B6" s="183"/>
      <c r="C6" s="184"/>
      <c r="D6" s="184"/>
      <c r="E6" s="184"/>
      <c r="F6" s="9"/>
      <c r="G6" s="18" t="s">
        <v>343</v>
      </c>
    </row>
    <row r="7" spans="2:7" x14ac:dyDescent="0.35">
      <c r="B7" s="3" t="s">
        <v>83</v>
      </c>
      <c r="C7" s="3" t="s">
        <v>86</v>
      </c>
      <c r="D7" s="3" t="s">
        <v>87</v>
      </c>
      <c r="E7" s="3" t="s">
        <v>54</v>
      </c>
      <c r="F7" s="9"/>
      <c r="G7" s="13" t="s">
        <v>342</v>
      </c>
    </row>
    <row r="8" spans="2:7" ht="29" x14ac:dyDescent="0.35">
      <c r="B8" s="19" t="s">
        <v>85</v>
      </c>
      <c r="C8" s="20"/>
      <c r="D8" s="21"/>
      <c r="E8" s="21"/>
      <c r="F8" s="9"/>
      <c r="G8" s="22"/>
    </row>
    <row r="9" spans="2:7" x14ac:dyDescent="0.35">
      <c r="B9" s="19"/>
      <c r="C9" s="20" t="s">
        <v>242</v>
      </c>
      <c r="D9" s="21"/>
      <c r="E9" s="21"/>
      <c r="F9" s="9"/>
      <c r="G9" s="23">
        <f>COUNTIF(G10:G11,"Yes")</f>
        <v>2</v>
      </c>
    </row>
    <row r="10" spans="2:7" ht="29" outlineLevel="1" x14ac:dyDescent="0.35">
      <c r="B10" s="24"/>
      <c r="C10" s="20"/>
      <c r="D10" s="25" t="s">
        <v>362</v>
      </c>
      <c r="E10" s="25" t="s">
        <v>3061</v>
      </c>
      <c r="F10" s="9"/>
      <c r="G10" s="26" t="s">
        <v>341</v>
      </c>
    </row>
    <row r="11" spans="2:7" ht="87" outlineLevel="1" x14ac:dyDescent="0.35">
      <c r="B11" s="19"/>
      <c r="C11" s="20"/>
      <c r="D11" s="25" t="s">
        <v>243</v>
      </c>
      <c r="E11" s="25" t="s">
        <v>3979</v>
      </c>
      <c r="F11" s="9"/>
      <c r="G11" s="26" t="s">
        <v>341</v>
      </c>
    </row>
    <row r="12" spans="2:7" x14ac:dyDescent="0.35">
      <c r="B12" s="27"/>
      <c r="C12" s="20" t="s">
        <v>244</v>
      </c>
      <c r="D12" s="21"/>
      <c r="E12" s="21"/>
      <c r="F12" s="9"/>
      <c r="G12" s="23">
        <f>COUNTIF(G13:G20,"Yes")</f>
        <v>8</v>
      </c>
    </row>
    <row r="13" spans="2:7" outlineLevel="1" x14ac:dyDescent="0.35">
      <c r="B13" s="27"/>
      <c r="D13" s="25" t="s">
        <v>496</v>
      </c>
      <c r="E13" s="25" t="s">
        <v>296</v>
      </c>
      <c r="F13" s="9"/>
      <c r="G13" s="26" t="s">
        <v>341</v>
      </c>
    </row>
    <row r="14" spans="2:7" ht="29" outlineLevel="1" x14ac:dyDescent="0.35">
      <c r="B14" s="27"/>
      <c r="C14" s="20"/>
      <c r="D14" s="25" t="s">
        <v>495</v>
      </c>
      <c r="E14" s="25" t="s">
        <v>1441</v>
      </c>
      <c r="F14" s="9"/>
      <c r="G14" s="26" t="s">
        <v>341</v>
      </c>
    </row>
    <row r="15" spans="2:7" ht="29" outlineLevel="1" x14ac:dyDescent="0.35">
      <c r="B15" s="27"/>
      <c r="C15" s="20"/>
      <c r="D15" s="25" t="s">
        <v>705</v>
      </c>
      <c r="E15" s="25" t="s">
        <v>297</v>
      </c>
      <c r="F15" s="9"/>
      <c r="G15" s="26" t="s">
        <v>341</v>
      </c>
    </row>
    <row r="16" spans="2:7" ht="58" outlineLevel="1" x14ac:dyDescent="0.35">
      <c r="B16" s="24"/>
      <c r="C16" s="20"/>
      <c r="D16" s="25" t="s">
        <v>489</v>
      </c>
      <c r="E16" s="25" t="s">
        <v>706</v>
      </c>
      <c r="F16" s="9"/>
      <c r="G16" s="26" t="s">
        <v>341</v>
      </c>
    </row>
    <row r="17" spans="2:7" ht="72.5" outlineLevel="1" x14ac:dyDescent="0.35">
      <c r="B17" s="24"/>
      <c r="C17" s="20"/>
      <c r="D17" s="25" t="s">
        <v>488</v>
      </c>
      <c r="E17" s="25" t="s">
        <v>360</v>
      </c>
      <c r="F17" s="9"/>
      <c r="G17" s="26" t="s">
        <v>341</v>
      </c>
    </row>
    <row r="18" spans="2:7" ht="43.5" outlineLevel="1" x14ac:dyDescent="0.35">
      <c r="B18" s="24"/>
      <c r="C18" s="20"/>
      <c r="D18" s="25" t="s">
        <v>707</v>
      </c>
      <c r="E18" s="25" t="s">
        <v>298</v>
      </c>
      <c r="F18" s="9"/>
      <c r="G18" s="26" t="s">
        <v>341</v>
      </c>
    </row>
    <row r="19" spans="2:7" ht="43.5" outlineLevel="1" x14ac:dyDescent="0.35">
      <c r="B19" s="24"/>
      <c r="C19" s="20"/>
      <c r="D19" s="25" t="s">
        <v>3409</v>
      </c>
      <c r="E19" s="25" t="s">
        <v>397</v>
      </c>
      <c r="F19" s="9"/>
      <c r="G19" s="26" t="s">
        <v>341</v>
      </c>
    </row>
    <row r="20" spans="2:7" ht="72.5" outlineLevel="1" x14ac:dyDescent="0.35">
      <c r="B20" s="24"/>
      <c r="C20" s="20"/>
      <c r="D20" s="25" t="s">
        <v>4122</v>
      </c>
      <c r="E20" s="25" t="s">
        <v>2622</v>
      </c>
      <c r="F20" s="9"/>
      <c r="G20" s="26" t="s">
        <v>341</v>
      </c>
    </row>
    <row r="21" spans="2:7" ht="29" x14ac:dyDescent="0.35">
      <c r="B21" s="24"/>
      <c r="C21" s="20" t="s">
        <v>492</v>
      </c>
      <c r="D21" s="21"/>
      <c r="E21" s="21"/>
      <c r="F21" s="9"/>
      <c r="G21" s="23">
        <f>COUNTIF(G23:G34,"Yes")</f>
        <v>10</v>
      </c>
    </row>
    <row r="22" spans="2:7" x14ac:dyDescent="0.35">
      <c r="B22" s="24"/>
      <c r="C22" s="20"/>
      <c r="D22" s="3" t="s">
        <v>245</v>
      </c>
      <c r="E22" s="21"/>
      <c r="F22" s="9"/>
      <c r="G22" s="29"/>
    </row>
    <row r="23" spans="2:7" ht="58" outlineLevel="1" x14ac:dyDescent="0.35">
      <c r="B23" s="27"/>
      <c r="C23" s="20"/>
      <c r="D23" s="25" t="s">
        <v>491</v>
      </c>
      <c r="E23" s="25" t="s">
        <v>1801</v>
      </c>
      <c r="F23" s="9"/>
      <c r="G23" s="26" t="s">
        <v>341</v>
      </c>
    </row>
    <row r="24" spans="2:7" ht="43.5" outlineLevel="1" x14ac:dyDescent="0.35">
      <c r="B24" s="24"/>
      <c r="C24" s="20"/>
      <c r="D24" s="25" t="s">
        <v>1445</v>
      </c>
      <c r="E24" s="25" t="s">
        <v>561</v>
      </c>
      <c r="F24" s="9"/>
      <c r="G24" s="26" t="s">
        <v>341</v>
      </c>
    </row>
    <row r="25" spans="2:7" ht="58" outlineLevel="1" x14ac:dyDescent="0.35">
      <c r="B25" s="24"/>
      <c r="C25" s="20"/>
      <c r="D25" s="25" t="s">
        <v>490</v>
      </c>
      <c r="E25" s="25" t="s">
        <v>3978</v>
      </c>
      <c r="F25" s="9"/>
      <c r="G25" s="26" t="s">
        <v>341</v>
      </c>
    </row>
    <row r="26" spans="2:7" ht="29" outlineLevel="1" x14ac:dyDescent="0.35">
      <c r="B26" s="24"/>
      <c r="C26" s="20"/>
      <c r="D26" s="25" t="s">
        <v>3410</v>
      </c>
      <c r="E26" s="25" t="s">
        <v>297</v>
      </c>
      <c r="F26" s="9"/>
      <c r="G26" s="26" t="s">
        <v>341</v>
      </c>
    </row>
    <row r="27" spans="2:7" ht="43.5" outlineLevel="1" x14ac:dyDescent="0.35">
      <c r="B27" s="24"/>
      <c r="C27" s="20"/>
      <c r="D27" s="25" t="s">
        <v>538</v>
      </c>
      <c r="E27" s="25" t="s">
        <v>562</v>
      </c>
      <c r="F27" s="9"/>
      <c r="G27" s="26" t="s">
        <v>341</v>
      </c>
    </row>
    <row r="28" spans="2:7" x14ac:dyDescent="0.35">
      <c r="B28" s="27"/>
      <c r="C28" s="27"/>
      <c r="D28" s="3" t="s">
        <v>246</v>
      </c>
      <c r="E28" s="21"/>
      <c r="F28" s="9"/>
      <c r="G28" s="29"/>
    </row>
    <row r="29" spans="2:7" ht="87" outlineLevel="1" x14ac:dyDescent="0.35">
      <c r="B29" s="27"/>
      <c r="C29" s="27"/>
      <c r="D29" s="25" t="s">
        <v>361</v>
      </c>
      <c r="E29" s="25" t="s">
        <v>963</v>
      </c>
      <c r="F29" s="9"/>
      <c r="G29" s="26" t="s">
        <v>341</v>
      </c>
    </row>
    <row r="30" spans="2:7" ht="58" outlineLevel="1" x14ac:dyDescent="0.35">
      <c r="B30" s="27"/>
      <c r="C30" s="27"/>
      <c r="D30" s="25" t="s">
        <v>247</v>
      </c>
      <c r="E30" s="25" t="s">
        <v>3994</v>
      </c>
      <c r="F30" s="9"/>
      <c r="G30" s="26" t="s">
        <v>341</v>
      </c>
    </row>
    <row r="31" spans="2:7" ht="29" outlineLevel="1" x14ac:dyDescent="0.35">
      <c r="B31" s="27"/>
      <c r="C31" s="27"/>
      <c r="D31" s="25" t="s">
        <v>3414</v>
      </c>
      <c r="E31" s="25" t="s">
        <v>1190</v>
      </c>
      <c r="F31" s="9"/>
      <c r="G31" s="26" t="s">
        <v>341</v>
      </c>
    </row>
    <row r="32" spans="2:7" ht="43.5" outlineLevel="1" x14ac:dyDescent="0.35">
      <c r="B32" s="27"/>
      <c r="C32" s="27"/>
      <c r="D32" s="25" t="s">
        <v>467</v>
      </c>
      <c r="E32" s="25" t="s">
        <v>557</v>
      </c>
      <c r="F32" s="9"/>
      <c r="G32" s="26" t="s">
        <v>341</v>
      </c>
    </row>
    <row r="33" spans="2:7" x14ac:dyDescent="0.35">
      <c r="B33" s="27"/>
      <c r="C33" s="27"/>
      <c r="D33" s="3" t="s">
        <v>2897</v>
      </c>
      <c r="E33" s="21"/>
      <c r="F33" s="9"/>
      <c r="G33" s="29"/>
    </row>
    <row r="34" spans="2:7" ht="29" outlineLevel="1" x14ac:dyDescent="0.35">
      <c r="B34" s="27"/>
      <c r="C34" s="21"/>
      <c r="D34" s="25" t="s">
        <v>248</v>
      </c>
      <c r="E34" s="25" t="s">
        <v>563</v>
      </c>
      <c r="F34" s="9"/>
      <c r="G34" s="26" t="s">
        <v>341</v>
      </c>
    </row>
    <row r="35" spans="2:7" x14ac:dyDescent="0.35">
      <c r="B35" s="27"/>
      <c r="C35" s="27" t="s">
        <v>1341</v>
      </c>
      <c r="D35" s="25"/>
      <c r="E35" s="25"/>
      <c r="F35" s="9"/>
      <c r="G35" s="23">
        <f>COUNTIF(G36:G37,"Yes")</f>
        <v>2</v>
      </c>
    </row>
    <row r="36" spans="2:7" ht="58" outlineLevel="1" x14ac:dyDescent="0.35">
      <c r="B36" s="27"/>
      <c r="C36" s="21"/>
      <c r="D36" s="25" t="s">
        <v>1343</v>
      </c>
      <c r="E36" s="25" t="s">
        <v>1344</v>
      </c>
      <c r="F36" s="9"/>
      <c r="G36" s="26" t="s">
        <v>341</v>
      </c>
    </row>
    <row r="37" spans="2:7" ht="72.5" outlineLevel="1" x14ac:dyDescent="0.35">
      <c r="B37" s="27"/>
      <c r="C37" s="21"/>
      <c r="D37" s="25" t="s">
        <v>1342</v>
      </c>
      <c r="E37" s="25" t="s">
        <v>3977</v>
      </c>
      <c r="F37" s="9"/>
      <c r="G37" s="26" t="s">
        <v>341</v>
      </c>
    </row>
    <row r="38" spans="2:7" x14ac:dyDescent="0.35">
      <c r="B38" s="27"/>
      <c r="C38" s="27" t="s">
        <v>1335</v>
      </c>
      <c r="D38" s="25"/>
      <c r="E38" s="25"/>
      <c r="F38" s="9"/>
      <c r="G38" s="23">
        <f>COUNTIF(G39:G45,"Yes")</f>
        <v>7</v>
      </c>
    </row>
    <row r="39" spans="2:7" outlineLevel="1" x14ac:dyDescent="0.35">
      <c r="B39" s="27"/>
      <c r="C39" s="27"/>
      <c r="D39" s="25" t="s">
        <v>1444</v>
      </c>
      <c r="E39" s="25" t="s">
        <v>291</v>
      </c>
      <c r="F39" s="9"/>
      <c r="G39" s="26" t="s">
        <v>341</v>
      </c>
    </row>
    <row r="40" spans="2:7" outlineLevel="1" x14ac:dyDescent="0.35">
      <c r="B40" s="27"/>
      <c r="C40" s="27"/>
      <c r="D40" s="25" t="s">
        <v>249</v>
      </c>
      <c r="E40" s="25" t="s">
        <v>292</v>
      </c>
      <c r="F40" s="9"/>
      <c r="G40" s="26" t="s">
        <v>341</v>
      </c>
    </row>
    <row r="41" spans="2:7" ht="29" outlineLevel="1" x14ac:dyDescent="0.35">
      <c r="B41" s="27"/>
      <c r="C41" s="27"/>
      <c r="D41" s="25" t="s">
        <v>250</v>
      </c>
      <c r="E41" s="25" t="s">
        <v>293</v>
      </c>
      <c r="F41" s="9"/>
      <c r="G41" s="26" t="s">
        <v>341</v>
      </c>
    </row>
    <row r="42" spans="2:7" ht="58" outlineLevel="1" x14ac:dyDescent="0.35">
      <c r="B42" s="27"/>
      <c r="C42" s="27"/>
      <c r="D42" s="25" t="s">
        <v>3411</v>
      </c>
      <c r="E42" s="25" t="s">
        <v>1193</v>
      </c>
      <c r="F42" s="9"/>
      <c r="G42" s="26" t="s">
        <v>341</v>
      </c>
    </row>
    <row r="43" spans="2:7" ht="29" outlineLevel="1" x14ac:dyDescent="0.35">
      <c r="B43" s="27"/>
      <c r="C43" s="27"/>
      <c r="D43" s="25" t="s">
        <v>874</v>
      </c>
      <c r="E43" s="25" t="s">
        <v>294</v>
      </c>
      <c r="F43" s="9"/>
      <c r="G43" s="26" t="s">
        <v>341</v>
      </c>
    </row>
    <row r="44" spans="2:7" outlineLevel="1" x14ac:dyDescent="0.35">
      <c r="B44" s="27"/>
      <c r="C44" s="27"/>
      <c r="D44" s="25" t="s">
        <v>295</v>
      </c>
      <c r="E44" s="25" t="s">
        <v>1191</v>
      </c>
      <c r="F44" s="9"/>
      <c r="G44" s="26" t="s">
        <v>341</v>
      </c>
    </row>
    <row r="45" spans="2:7" outlineLevel="1" x14ac:dyDescent="0.35">
      <c r="B45" s="27"/>
      <c r="C45" s="27"/>
      <c r="D45" s="25" t="s">
        <v>268</v>
      </c>
      <c r="E45" s="25" t="s">
        <v>1192</v>
      </c>
      <c r="F45" s="9"/>
      <c r="G45" s="26" t="s">
        <v>341</v>
      </c>
    </row>
    <row r="46" spans="2:7" s="30" customFormat="1" x14ac:dyDescent="0.35">
      <c r="B46" s="27"/>
      <c r="C46" s="27" t="s">
        <v>1336</v>
      </c>
      <c r="D46" s="25"/>
      <c r="E46" s="25"/>
      <c r="F46" s="9"/>
      <c r="G46" s="23">
        <f>COUNTIF(G47:G54,"Yes")</f>
        <v>8</v>
      </c>
    </row>
    <row r="47" spans="2:7" outlineLevel="1" x14ac:dyDescent="0.35">
      <c r="B47" s="27"/>
      <c r="C47" s="27"/>
      <c r="D47" s="25" t="s">
        <v>513</v>
      </c>
      <c r="E47" s="25" t="s">
        <v>1872</v>
      </c>
      <c r="F47" s="9"/>
      <c r="G47" s="26" t="s">
        <v>341</v>
      </c>
    </row>
    <row r="48" spans="2:7" s="30" customFormat="1" ht="58" outlineLevel="1" x14ac:dyDescent="0.35">
      <c r="B48" s="27"/>
      <c r="C48" s="27"/>
      <c r="D48" s="25" t="s">
        <v>2837</v>
      </c>
      <c r="E48" s="25" t="s">
        <v>1195</v>
      </c>
      <c r="F48" s="9"/>
      <c r="G48" s="26" t="s">
        <v>341</v>
      </c>
    </row>
    <row r="49" spans="2:7" s="30" customFormat="1" ht="43.5" outlineLevel="1" x14ac:dyDescent="0.35">
      <c r="B49" s="27"/>
      <c r="C49" s="27"/>
      <c r="D49" s="25" t="s">
        <v>708</v>
      </c>
      <c r="E49" s="25" t="s">
        <v>1889</v>
      </c>
      <c r="F49" s="9"/>
      <c r="G49" s="26" t="s">
        <v>341</v>
      </c>
    </row>
    <row r="50" spans="2:7" s="30" customFormat="1" ht="43.5" outlineLevel="1" x14ac:dyDescent="0.35">
      <c r="B50" s="27"/>
      <c r="C50" s="27"/>
      <c r="D50" s="25" t="s">
        <v>512</v>
      </c>
      <c r="E50" s="25" t="s">
        <v>1889</v>
      </c>
      <c r="F50" s="9"/>
      <c r="G50" s="26" t="s">
        <v>341</v>
      </c>
    </row>
    <row r="51" spans="2:7" s="30" customFormat="1" ht="29" outlineLevel="1" x14ac:dyDescent="0.35">
      <c r="B51" s="27"/>
      <c r="C51" s="27"/>
      <c r="D51" s="25" t="s">
        <v>363</v>
      </c>
      <c r="E51" s="25" t="s">
        <v>468</v>
      </c>
      <c r="F51" s="9"/>
      <c r="G51" s="26" t="s">
        <v>341</v>
      </c>
    </row>
    <row r="52" spans="2:7" s="30" customFormat="1" ht="29" outlineLevel="1" x14ac:dyDescent="0.35">
      <c r="B52" s="27"/>
      <c r="C52" s="27"/>
      <c r="D52" s="25" t="s">
        <v>533</v>
      </c>
      <c r="E52" s="25" t="s">
        <v>534</v>
      </c>
      <c r="F52" s="9"/>
      <c r="G52" s="26" t="s">
        <v>341</v>
      </c>
    </row>
    <row r="53" spans="2:7" s="30" customFormat="1" ht="29" outlineLevel="1" x14ac:dyDescent="0.35">
      <c r="B53" s="19"/>
      <c r="C53" s="19"/>
      <c r="D53" s="25" t="s">
        <v>364</v>
      </c>
      <c r="E53" s="25" t="s">
        <v>365</v>
      </c>
      <c r="F53" s="9"/>
      <c r="G53" s="26" t="s">
        <v>341</v>
      </c>
    </row>
    <row r="54" spans="2:7" s="30" customFormat="1" ht="58" outlineLevel="1" x14ac:dyDescent="0.35">
      <c r="B54" s="19"/>
      <c r="C54" s="19"/>
      <c r="D54" s="25" t="s">
        <v>1085</v>
      </c>
      <c r="E54" s="25" t="s">
        <v>1194</v>
      </c>
      <c r="F54" s="9"/>
      <c r="G54" s="26" t="s">
        <v>341</v>
      </c>
    </row>
    <row r="55" spans="2:7" x14ac:dyDescent="0.35">
      <c r="B55" s="27"/>
      <c r="C55" s="27" t="s">
        <v>1337</v>
      </c>
      <c r="D55" s="25"/>
      <c r="E55" s="25"/>
      <c r="F55" s="9"/>
      <c r="G55" s="23">
        <f>COUNTIF(G56:G57,"Yes")</f>
        <v>2</v>
      </c>
    </row>
    <row r="56" spans="2:7" ht="58" outlineLevel="1" x14ac:dyDescent="0.35">
      <c r="B56" s="27"/>
      <c r="C56" s="27"/>
      <c r="D56" s="25" t="s">
        <v>251</v>
      </c>
      <c r="E56" s="25" t="s">
        <v>1196</v>
      </c>
      <c r="F56" s="9"/>
      <c r="G56" s="26" t="s">
        <v>341</v>
      </c>
    </row>
    <row r="57" spans="2:7" ht="58" outlineLevel="1" x14ac:dyDescent="0.35">
      <c r="B57" s="27"/>
      <c r="C57" s="21"/>
      <c r="D57" s="25" t="s">
        <v>252</v>
      </c>
      <c r="E57" s="25" t="s">
        <v>1894</v>
      </c>
      <c r="F57" s="9"/>
      <c r="G57" s="26" t="s">
        <v>341</v>
      </c>
    </row>
    <row r="58" spans="2:7" x14ac:dyDescent="0.35">
      <c r="B58" s="27"/>
      <c r="C58" s="27" t="s">
        <v>1338</v>
      </c>
      <c r="D58" s="25"/>
      <c r="E58" s="25"/>
      <c r="F58" s="9"/>
      <c r="G58" s="23">
        <f>COUNTIF(G59:G62,"Yes")</f>
        <v>4</v>
      </c>
    </row>
    <row r="59" spans="2:7" ht="145" outlineLevel="1" x14ac:dyDescent="0.35">
      <c r="B59" s="27"/>
      <c r="C59" s="27"/>
      <c r="D59" s="25" t="s">
        <v>1284</v>
      </c>
      <c r="E59" s="25" t="s">
        <v>1926</v>
      </c>
      <c r="F59" s="9"/>
      <c r="G59" s="26" t="s">
        <v>341</v>
      </c>
    </row>
    <row r="60" spans="2:7" ht="29" outlineLevel="1" x14ac:dyDescent="0.35">
      <c r="B60" s="27"/>
      <c r="C60" s="20"/>
      <c r="D60" s="25" t="s">
        <v>835</v>
      </c>
      <c r="E60" s="25" t="s">
        <v>1886</v>
      </c>
      <c r="F60" s="9"/>
      <c r="G60" s="26" t="s">
        <v>341</v>
      </c>
    </row>
    <row r="61" spans="2:7" ht="174" customHeight="1" outlineLevel="1" x14ac:dyDescent="0.35">
      <c r="B61" s="27"/>
      <c r="C61" s="20"/>
      <c r="D61" s="25" t="s">
        <v>1420</v>
      </c>
      <c r="E61" s="25" t="s">
        <v>4035</v>
      </c>
      <c r="F61" s="9"/>
      <c r="G61" s="26" t="s">
        <v>341</v>
      </c>
    </row>
    <row r="62" spans="2:7" ht="43.5" outlineLevel="1" x14ac:dyDescent="0.35">
      <c r="B62" s="27"/>
      <c r="C62" s="20"/>
      <c r="D62" s="25" t="s">
        <v>255</v>
      </c>
      <c r="E62" s="25" t="s">
        <v>1911</v>
      </c>
      <c r="F62" s="9"/>
      <c r="G62" s="26" t="s">
        <v>341</v>
      </c>
    </row>
    <row r="63" spans="2:7" x14ac:dyDescent="0.35">
      <c r="B63" s="27"/>
      <c r="C63" s="27" t="s">
        <v>1339</v>
      </c>
      <c r="D63" s="25"/>
      <c r="E63" s="25"/>
      <c r="F63" s="9"/>
      <c r="G63" s="23">
        <f>COUNTIF(G64:G78,"Yes")</f>
        <v>15</v>
      </c>
    </row>
    <row r="64" spans="2:7" ht="72.5" outlineLevel="1" x14ac:dyDescent="0.35">
      <c r="B64" s="27"/>
      <c r="C64" s="20"/>
      <c r="D64" s="25" t="s">
        <v>253</v>
      </c>
      <c r="E64" s="25" t="s">
        <v>4451</v>
      </c>
      <c r="F64" s="9"/>
      <c r="G64" s="26" t="s">
        <v>341</v>
      </c>
    </row>
    <row r="65" spans="2:7" ht="72.5" outlineLevel="1" x14ac:dyDescent="0.35">
      <c r="B65" s="24"/>
      <c r="C65" s="19"/>
      <c r="D65" s="25" t="s">
        <v>254</v>
      </c>
      <c r="E65" s="25" t="s">
        <v>1197</v>
      </c>
      <c r="F65" s="9"/>
      <c r="G65" s="26" t="s">
        <v>341</v>
      </c>
    </row>
    <row r="66" spans="2:7" ht="29" outlineLevel="1" x14ac:dyDescent="0.35">
      <c r="B66" s="31"/>
      <c r="C66" s="32"/>
      <c r="D66" s="25" t="s">
        <v>3423</v>
      </c>
      <c r="E66" s="25" t="s">
        <v>1091</v>
      </c>
      <c r="F66" s="9"/>
      <c r="G66" s="26" t="s">
        <v>341</v>
      </c>
    </row>
    <row r="67" spans="2:7" ht="58" outlineLevel="1" x14ac:dyDescent="0.35">
      <c r="B67" s="27"/>
      <c r="C67" s="20"/>
      <c r="D67" s="25" t="s">
        <v>1087</v>
      </c>
      <c r="E67" s="25" t="s">
        <v>1088</v>
      </c>
      <c r="F67" s="9"/>
      <c r="G67" s="26" t="s">
        <v>341</v>
      </c>
    </row>
    <row r="68" spans="2:7" ht="29" outlineLevel="1" x14ac:dyDescent="0.35">
      <c r="B68" s="27"/>
      <c r="C68" s="20"/>
      <c r="D68" s="25" t="s">
        <v>1089</v>
      </c>
      <c r="E68" s="25" t="s">
        <v>1090</v>
      </c>
      <c r="F68" s="9"/>
      <c r="G68" s="26" t="s">
        <v>341</v>
      </c>
    </row>
    <row r="69" spans="2:7" ht="43.5" outlineLevel="1" x14ac:dyDescent="0.35">
      <c r="B69" s="27"/>
      <c r="C69" s="20"/>
      <c r="D69" s="25" t="s">
        <v>938</v>
      </c>
      <c r="E69" s="25" t="s">
        <v>941</v>
      </c>
      <c r="F69" s="9"/>
      <c r="G69" s="26" t="s">
        <v>341</v>
      </c>
    </row>
    <row r="70" spans="2:7" ht="29" outlineLevel="1" x14ac:dyDescent="0.35">
      <c r="B70" s="27"/>
      <c r="C70" s="20"/>
      <c r="D70" s="25" t="s">
        <v>939</v>
      </c>
      <c r="E70" s="25" t="s">
        <v>968</v>
      </c>
      <c r="F70" s="9"/>
      <c r="G70" s="26" t="s">
        <v>341</v>
      </c>
    </row>
    <row r="71" spans="2:7" ht="87" outlineLevel="1" x14ac:dyDescent="0.35">
      <c r="B71" s="27"/>
      <c r="C71" s="20"/>
      <c r="D71" s="25" t="s">
        <v>1762</v>
      </c>
      <c r="E71" s="25" t="s">
        <v>1784</v>
      </c>
      <c r="F71" s="9"/>
      <c r="G71" s="26" t="s">
        <v>341</v>
      </c>
    </row>
    <row r="72" spans="2:7" ht="29" outlineLevel="1" x14ac:dyDescent="0.35">
      <c r="B72" s="27"/>
      <c r="C72" s="20"/>
      <c r="D72" s="25" t="s">
        <v>3412</v>
      </c>
      <c r="E72" s="25" t="s">
        <v>1892</v>
      </c>
      <c r="F72" s="9"/>
      <c r="G72" s="26" t="s">
        <v>341</v>
      </c>
    </row>
    <row r="73" spans="2:7" ht="29" outlineLevel="1" x14ac:dyDescent="0.35">
      <c r="B73" s="27"/>
      <c r="C73" s="20"/>
      <c r="D73" s="25" t="s">
        <v>836</v>
      </c>
      <c r="E73" s="25" t="s">
        <v>536</v>
      </c>
      <c r="F73" s="9"/>
      <c r="G73" s="26" t="s">
        <v>341</v>
      </c>
    </row>
    <row r="74" spans="2:7" ht="29" outlineLevel="1" x14ac:dyDescent="0.35">
      <c r="B74" s="27"/>
      <c r="C74" s="20"/>
      <c r="D74" s="25" t="s">
        <v>4478</v>
      </c>
      <c r="E74" s="25" t="s">
        <v>4480</v>
      </c>
      <c r="F74" s="9"/>
      <c r="G74" s="26" t="s">
        <v>341</v>
      </c>
    </row>
    <row r="75" spans="2:7" ht="58" outlineLevel="1" x14ac:dyDescent="0.35">
      <c r="B75" s="27"/>
      <c r="C75" s="20"/>
      <c r="D75" s="25" t="s">
        <v>4479</v>
      </c>
      <c r="E75" s="25" t="s">
        <v>4634</v>
      </c>
      <c r="F75" s="9"/>
      <c r="G75" s="26" t="s">
        <v>341</v>
      </c>
    </row>
    <row r="76" spans="2:7" ht="72.5" outlineLevel="1" x14ac:dyDescent="0.35">
      <c r="B76" s="27"/>
      <c r="C76" s="20"/>
      <c r="D76" s="25" t="s">
        <v>4946</v>
      </c>
      <c r="E76" s="25" t="s">
        <v>4945</v>
      </c>
      <c r="F76" s="9"/>
      <c r="G76" s="26" t="s">
        <v>341</v>
      </c>
    </row>
    <row r="77" spans="2:7" ht="43.5" outlineLevel="1" x14ac:dyDescent="0.35">
      <c r="B77" s="27"/>
      <c r="C77" s="20"/>
      <c r="D77" s="25" t="s">
        <v>3413</v>
      </c>
      <c r="E77" s="25" t="s">
        <v>1773</v>
      </c>
      <c r="F77" s="9"/>
      <c r="G77" s="26" t="s">
        <v>341</v>
      </c>
    </row>
    <row r="78" spans="2:7" ht="87" outlineLevel="1" x14ac:dyDescent="0.35">
      <c r="B78" s="27"/>
      <c r="C78" s="20"/>
      <c r="D78" s="25" t="s">
        <v>5153</v>
      </c>
      <c r="E78" s="25" t="s">
        <v>5429</v>
      </c>
      <c r="F78" s="9"/>
      <c r="G78" s="26" t="s">
        <v>341</v>
      </c>
    </row>
    <row r="79" spans="2:7" ht="43.5" outlineLevel="1" x14ac:dyDescent="0.35">
      <c r="B79" s="27"/>
      <c r="C79" s="20"/>
      <c r="D79" s="25" t="s">
        <v>5308</v>
      </c>
      <c r="E79" s="25" t="s">
        <v>5309</v>
      </c>
      <c r="F79" s="9"/>
      <c r="G79" s="26" t="s">
        <v>341</v>
      </c>
    </row>
  </sheetData>
  <sortState xmlns:xlrd2="http://schemas.microsoft.com/office/spreadsheetml/2017/richdata2" ref="A64:H73">
    <sortCondition ref="D64"/>
  </sortState>
  <mergeCells count="3">
    <mergeCell ref="B6:E6"/>
    <mergeCell ref="G3:G4"/>
    <mergeCell ref="B2:B4"/>
  </mergeCells>
  <dataValidations count="1">
    <dataValidation type="list" allowBlank="1" showInputMessage="1" showErrorMessage="1" sqref="G23:G27 G39:G45 G13:G20 G56:G57 G47:G54 G36:G37 G10:G11 G59:G62 G34 G29:G32 G64:G79" xr:uid="{00000000-0002-0000-0200-000000000000}">
      <formula1>"Yes, No"</formula1>
    </dataValidation>
  </dataValidations>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293276"/>
  </sheetPr>
  <dimension ref="B1:G214"/>
  <sheetViews>
    <sheetView showGridLines="0" zoomScale="80" zoomScaleNormal="80" workbookViewId="0">
      <selection activeCell="C2" sqref="C2"/>
    </sheetView>
  </sheetViews>
  <sheetFormatPr defaultColWidth="9.1796875" defaultRowHeight="14.5" outlineLevelRow="1" x14ac:dyDescent="0.35"/>
  <cols>
    <col min="1" max="1" width="2.1796875" style="50" customWidth="1"/>
    <col min="2" max="2" width="30.6328125" style="50" customWidth="1"/>
    <col min="3" max="3" width="30.6328125" style="54" customWidth="1"/>
    <col min="4" max="4" width="50.6328125" style="54" customWidth="1"/>
    <col min="5" max="5" width="76.6328125" style="54" customWidth="1"/>
    <col min="6" max="6" width="2.1796875" style="48" customWidth="1"/>
    <col min="7" max="7" width="9.1796875" style="57"/>
    <col min="8" max="16384" width="9.1796875" style="50"/>
  </cols>
  <sheetData>
    <row r="1" spans="2:7" s="36" customFormat="1" ht="18.5" customHeight="1" x14ac:dyDescent="0.35">
      <c r="C1" s="37"/>
      <c r="D1" s="38"/>
      <c r="E1" s="39"/>
      <c r="G1" s="40"/>
    </row>
    <row r="2" spans="2:7" s="36" customFormat="1" ht="14.5" customHeight="1" x14ac:dyDescent="0.35">
      <c r="B2" s="187"/>
      <c r="C2" s="152"/>
      <c r="D2" s="146" t="s">
        <v>41</v>
      </c>
      <c r="E2" s="10" t="s">
        <v>39</v>
      </c>
      <c r="G2" s="41" t="s">
        <v>342</v>
      </c>
    </row>
    <row r="3" spans="2:7" s="36" customFormat="1" ht="14.5" customHeight="1" x14ac:dyDescent="0.35">
      <c r="B3" s="187"/>
      <c r="C3" s="152"/>
      <c r="D3" s="146" t="s">
        <v>226</v>
      </c>
      <c r="E3" s="11">
        <f>COUNTIF(E8:E215,"*")</f>
        <v>166</v>
      </c>
      <c r="G3" s="185">
        <f>COUNTIF(G8:G215,"Yes")</f>
        <v>166</v>
      </c>
    </row>
    <row r="4" spans="2:7" s="36" customFormat="1" ht="14.5" customHeight="1" x14ac:dyDescent="0.35">
      <c r="B4" s="187"/>
      <c r="C4" s="152"/>
      <c r="D4" s="146" t="s">
        <v>79</v>
      </c>
      <c r="E4" s="15" t="str">
        <f>' (0) Customer Relationship Mgmt'!E4</f>
        <v>R25 Model Bank</v>
      </c>
      <c r="G4" s="186"/>
    </row>
    <row r="5" spans="2:7" s="36" customFormat="1" ht="18.5" customHeight="1" x14ac:dyDescent="0.35">
      <c r="B5" s="147"/>
      <c r="C5" s="147"/>
      <c r="D5" s="43"/>
      <c r="E5" s="42"/>
      <c r="G5" s="40"/>
    </row>
    <row r="6" spans="2:7" s="36" customFormat="1" x14ac:dyDescent="0.35">
      <c r="B6" s="188"/>
      <c r="C6" s="189"/>
      <c r="D6" s="189"/>
      <c r="E6" s="190"/>
      <c r="G6" s="44" t="s">
        <v>340</v>
      </c>
    </row>
    <row r="7" spans="2:7" s="36" customFormat="1" x14ac:dyDescent="0.35">
      <c r="B7" s="45" t="s">
        <v>83</v>
      </c>
      <c r="C7" s="45" t="s">
        <v>86</v>
      </c>
      <c r="D7" s="45" t="s">
        <v>87</v>
      </c>
      <c r="E7" s="45"/>
      <c r="G7" s="41" t="s">
        <v>342</v>
      </c>
    </row>
    <row r="8" spans="2:7" x14ac:dyDescent="0.35">
      <c r="B8" s="46" t="s">
        <v>900</v>
      </c>
      <c r="C8" s="20"/>
      <c r="D8" s="47"/>
      <c r="E8" s="47"/>
      <c r="G8" s="49"/>
    </row>
    <row r="9" spans="2:7" x14ac:dyDescent="0.35">
      <c r="B9" s="46"/>
      <c r="C9" s="20" t="s">
        <v>3471</v>
      </c>
      <c r="D9" s="47"/>
      <c r="E9" s="47"/>
      <c r="G9" s="51">
        <f>COUNTIF(G10:G61,"Yes")</f>
        <v>48</v>
      </c>
    </row>
    <row r="10" spans="2:7" x14ac:dyDescent="0.35">
      <c r="B10" s="46"/>
      <c r="C10" s="20"/>
      <c r="D10" s="3" t="s">
        <v>2539</v>
      </c>
      <c r="E10" s="47"/>
      <c r="G10" s="52"/>
    </row>
    <row r="11" spans="2:7" ht="58" outlineLevel="1" x14ac:dyDescent="0.35">
      <c r="B11" s="21"/>
      <c r="C11" s="21"/>
      <c r="D11" s="21" t="s">
        <v>387</v>
      </c>
      <c r="E11" s="21" t="s">
        <v>2992</v>
      </c>
      <c r="G11" s="26" t="s">
        <v>341</v>
      </c>
    </row>
    <row r="12" spans="2:7" ht="43.5" outlineLevel="1" x14ac:dyDescent="0.35">
      <c r="B12" s="21"/>
      <c r="C12" s="21"/>
      <c r="D12" s="21" t="s">
        <v>1384</v>
      </c>
      <c r="E12" s="21" t="s">
        <v>1434</v>
      </c>
      <c r="G12" s="26" t="s">
        <v>341</v>
      </c>
    </row>
    <row r="13" spans="2:7" ht="43.5" outlineLevel="1" x14ac:dyDescent="0.35">
      <c r="B13" s="46"/>
      <c r="C13" s="47"/>
      <c r="D13" s="21" t="s">
        <v>393</v>
      </c>
      <c r="E13" s="21" t="s">
        <v>2993</v>
      </c>
      <c r="G13" s="26" t="s">
        <v>341</v>
      </c>
    </row>
    <row r="14" spans="2:7" ht="29" outlineLevel="1" x14ac:dyDescent="0.35">
      <c r="B14" s="46"/>
      <c r="C14" s="47"/>
      <c r="D14" s="21" t="s">
        <v>63</v>
      </c>
      <c r="E14" s="21" t="s">
        <v>709</v>
      </c>
      <c r="G14" s="26" t="s">
        <v>341</v>
      </c>
    </row>
    <row r="15" spans="2:7" ht="29" outlineLevel="1" x14ac:dyDescent="0.35">
      <c r="B15" s="46"/>
      <c r="C15" s="47"/>
      <c r="D15" s="21" t="s">
        <v>46</v>
      </c>
      <c r="E15" s="21" t="s">
        <v>3961</v>
      </c>
      <c r="G15" s="26" t="s">
        <v>341</v>
      </c>
    </row>
    <row r="16" spans="2:7" ht="29" outlineLevel="1" x14ac:dyDescent="0.35">
      <c r="B16" s="46"/>
      <c r="C16" s="47"/>
      <c r="D16" s="21" t="s">
        <v>53</v>
      </c>
      <c r="E16" s="21" t="s">
        <v>4352</v>
      </c>
      <c r="G16" s="26" t="s">
        <v>341</v>
      </c>
    </row>
    <row r="17" spans="2:7" ht="43.5" outlineLevel="1" x14ac:dyDescent="0.35">
      <c r="B17" s="46"/>
      <c r="C17" s="47"/>
      <c r="D17" s="21" t="s">
        <v>347</v>
      </c>
      <c r="E17" s="21" t="s">
        <v>4233</v>
      </c>
      <c r="G17" s="26" t="s">
        <v>341</v>
      </c>
    </row>
    <row r="18" spans="2:7" ht="29" outlineLevel="1" x14ac:dyDescent="0.35">
      <c r="B18" s="46"/>
      <c r="C18" s="47"/>
      <c r="D18" s="21" t="s">
        <v>710</v>
      </c>
      <c r="E18" s="21" t="s">
        <v>3013</v>
      </c>
      <c r="G18" s="26" t="s">
        <v>341</v>
      </c>
    </row>
    <row r="19" spans="2:7" ht="29" outlineLevel="1" x14ac:dyDescent="0.35">
      <c r="B19" s="27"/>
      <c r="C19" s="21"/>
      <c r="D19" s="21" t="s">
        <v>960</v>
      </c>
      <c r="E19" s="21" t="s">
        <v>2263</v>
      </c>
      <c r="G19" s="26" t="s">
        <v>341</v>
      </c>
    </row>
    <row r="20" spans="2:7" x14ac:dyDescent="0.35">
      <c r="B20" s="46"/>
      <c r="C20" s="47"/>
      <c r="D20" s="3" t="s">
        <v>3473</v>
      </c>
      <c r="E20" s="47"/>
      <c r="G20" s="52"/>
    </row>
    <row r="21" spans="2:7" ht="87" outlineLevel="1" x14ac:dyDescent="0.35">
      <c r="B21" s="21"/>
      <c r="C21" s="21"/>
      <c r="D21" s="21" t="s">
        <v>391</v>
      </c>
      <c r="E21" s="21" t="s">
        <v>1270</v>
      </c>
      <c r="G21" s="26" t="s">
        <v>341</v>
      </c>
    </row>
    <row r="22" spans="2:7" ht="29" outlineLevel="1" x14ac:dyDescent="0.35">
      <c r="B22" s="46"/>
      <c r="C22" s="47"/>
      <c r="D22" s="21" t="s">
        <v>470</v>
      </c>
      <c r="E22" s="21" t="s">
        <v>4220</v>
      </c>
      <c r="G22" s="26" t="s">
        <v>341</v>
      </c>
    </row>
    <row r="23" spans="2:7" ht="29" outlineLevel="1" x14ac:dyDescent="0.35">
      <c r="B23" s="21"/>
      <c r="C23" s="21"/>
      <c r="D23" s="21" t="s">
        <v>392</v>
      </c>
      <c r="E23" s="21" t="s">
        <v>1200</v>
      </c>
      <c r="G23" s="26" t="s">
        <v>341</v>
      </c>
    </row>
    <row r="24" spans="2:7" ht="29" outlineLevel="1" x14ac:dyDescent="0.35">
      <c r="B24" s="20"/>
      <c r="C24" s="47"/>
      <c r="D24" s="21" t="s">
        <v>3415</v>
      </c>
      <c r="E24" s="21" t="s">
        <v>88</v>
      </c>
      <c r="G24" s="26" t="s">
        <v>341</v>
      </c>
    </row>
    <row r="25" spans="2:7" outlineLevel="1" x14ac:dyDescent="0.35">
      <c r="B25" s="46"/>
      <c r="C25" s="47"/>
      <c r="D25" s="21" t="s">
        <v>565</v>
      </c>
      <c r="E25" s="21" t="s">
        <v>516</v>
      </c>
      <c r="G25" s="26" t="s">
        <v>341</v>
      </c>
    </row>
    <row r="26" spans="2:7" ht="29" outlineLevel="1" x14ac:dyDescent="0.35">
      <c r="B26" s="46"/>
      <c r="C26" s="47"/>
      <c r="D26" s="21" t="s">
        <v>522</v>
      </c>
      <c r="E26" s="21" t="s">
        <v>712</v>
      </c>
      <c r="G26" s="26" t="s">
        <v>341</v>
      </c>
    </row>
    <row r="27" spans="2:7" outlineLevel="1" x14ac:dyDescent="0.35">
      <c r="B27" s="46"/>
      <c r="C27" s="47"/>
      <c r="D27" s="21" t="s">
        <v>837</v>
      </c>
      <c r="E27" s="21" t="s">
        <v>521</v>
      </c>
      <c r="G27" s="26" t="s">
        <v>341</v>
      </c>
    </row>
    <row r="28" spans="2:7" ht="72.5" outlineLevel="1" x14ac:dyDescent="0.35">
      <c r="B28" s="21"/>
      <c r="C28" s="21"/>
      <c r="D28" s="21" t="s">
        <v>713</v>
      </c>
      <c r="E28" s="21" t="s">
        <v>4201</v>
      </c>
      <c r="G28" s="26" t="s">
        <v>341</v>
      </c>
    </row>
    <row r="29" spans="2:7" ht="63" customHeight="1" outlineLevel="1" x14ac:dyDescent="0.35">
      <c r="B29" s="21"/>
      <c r="C29" s="21"/>
      <c r="D29" s="21" t="s">
        <v>961</v>
      </c>
      <c r="E29" s="21" t="s">
        <v>2990</v>
      </c>
      <c r="G29" s="26" t="s">
        <v>341</v>
      </c>
    </row>
    <row r="30" spans="2:7" ht="29" outlineLevel="1" x14ac:dyDescent="0.35">
      <c r="B30" s="46"/>
      <c r="C30" s="47"/>
      <c r="D30" s="21" t="s">
        <v>0</v>
      </c>
      <c r="E30" s="21" t="s">
        <v>3947</v>
      </c>
      <c r="G30" s="26" t="s">
        <v>341</v>
      </c>
    </row>
    <row r="31" spans="2:7" outlineLevel="1" x14ac:dyDescent="0.35">
      <c r="B31" s="46"/>
      <c r="C31" s="47"/>
      <c r="D31" s="21" t="s">
        <v>515</v>
      </c>
      <c r="E31" s="21" t="s">
        <v>714</v>
      </c>
      <c r="G31" s="26" t="s">
        <v>341</v>
      </c>
    </row>
    <row r="32" spans="2:7" ht="58" outlineLevel="1" x14ac:dyDescent="0.35">
      <c r="B32" s="46"/>
      <c r="C32" s="47"/>
      <c r="D32" s="21" t="s">
        <v>3416</v>
      </c>
      <c r="E32" s="21" t="s">
        <v>1643</v>
      </c>
      <c r="G32" s="26" t="s">
        <v>341</v>
      </c>
    </row>
    <row r="33" spans="2:7" ht="43.5" outlineLevel="1" x14ac:dyDescent="0.35">
      <c r="B33" s="21"/>
      <c r="C33" s="21"/>
      <c r="D33" s="21" t="s">
        <v>537</v>
      </c>
      <c r="E33" s="21" t="s">
        <v>1888</v>
      </c>
      <c r="G33" s="26" t="s">
        <v>341</v>
      </c>
    </row>
    <row r="34" spans="2:7" ht="29" outlineLevel="1" x14ac:dyDescent="0.35">
      <c r="B34" s="21"/>
      <c r="C34" s="21"/>
      <c r="D34" s="21" t="s">
        <v>4476</v>
      </c>
      <c r="E34" s="21" t="s">
        <v>4477</v>
      </c>
      <c r="G34" s="26" t="s">
        <v>341</v>
      </c>
    </row>
    <row r="35" spans="2:7" ht="29" outlineLevel="1" x14ac:dyDescent="0.35">
      <c r="B35" s="19"/>
      <c r="C35" s="19"/>
      <c r="D35" s="21" t="s">
        <v>47</v>
      </c>
      <c r="E35" s="21" t="s">
        <v>715</v>
      </c>
      <c r="G35" s="26" t="s">
        <v>341</v>
      </c>
    </row>
    <row r="36" spans="2:7" ht="43.5" outlineLevel="1" x14ac:dyDescent="0.35">
      <c r="B36" s="20"/>
      <c r="C36" s="47"/>
      <c r="D36" s="21" t="s">
        <v>3417</v>
      </c>
      <c r="E36" s="21" t="s">
        <v>1204</v>
      </c>
      <c r="G36" s="26" t="s">
        <v>341</v>
      </c>
    </row>
    <row r="37" spans="2:7" ht="14.5" customHeight="1" outlineLevel="1" x14ac:dyDescent="0.35">
      <c r="B37" s="21"/>
      <c r="C37" s="21"/>
      <c r="D37" s="21" t="s">
        <v>395</v>
      </c>
      <c r="E37" s="21" t="s">
        <v>4210</v>
      </c>
      <c r="G37" s="26" t="s">
        <v>341</v>
      </c>
    </row>
    <row r="38" spans="2:7" outlineLevel="1" x14ac:dyDescent="0.35">
      <c r="B38" s="46"/>
      <c r="C38" s="47"/>
      <c r="D38" s="21" t="s">
        <v>1757</v>
      </c>
      <c r="E38" s="21" t="s">
        <v>4211</v>
      </c>
      <c r="G38" s="26" t="s">
        <v>341</v>
      </c>
    </row>
    <row r="39" spans="2:7" ht="58" outlineLevel="1" x14ac:dyDescent="0.35">
      <c r="B39" s="46"/>
      <c r="C39" s="47"/>
      <c r="D39" s="21" t="s">
        <v>716</v>
      </c>
      <c r="E39" s="21" t="s">
        <v>4213</v>
      </c>
      <c r="G39" s="26" t="s">
        <v>341</v>
      </c>
    </row>
    <row r="40" spans="2:7" ht="43.5" outlineLevel="1" x14ac:dyDescent="0.35">
      <c r="B40" s="46"/>
      <c r="C40" s="47"/>
      <c r="D40" s="21" t="s">
        <v>4227</v>
      </c>
      <c r="E40" s="21" t="s">
        <v>4228</v>
      </c>
      <c r="G40" s="26" t="s">
        <v>341</v>
      </c>
    </row>
    <row r="41" spans="2:7" ht="29" outlineLevel="1" x14ac:dyDescent="0.35">
      <c r="B41" s="21"/>
      <c r="C41" s="21"/>
      <c r="D41" s="21" t="s">
        <v>4112</v>
      </c>
      <c r="E41" s="21" t="s">
        <v>4216</v>
      </c>
      <c r="G41" s="26" t="s">
        <v>341</v>
      </c>
    </row>
    <row r="42" spans="2:7" ht="29" outlineLevel="1" x14ac:dyDescent="0.35">
      <c r="B42" s="21"/>
      <c r="C42" s="21"/>
      <c r="D42" s="21" t="s">
        <v>4110</v>
      </c>
      <c r="E42" s="21" t="s">
        <v>4215</v>
      </c>
      <c r="G42" s="26" t="s">
        <v>341</v>
      </c>
    </row>
    <row r="43" spans="2:7" ht="29" outlineLevel="1" x14ac:dyDescent="0.35">
      <c r="B43" s="21"/>
      <c r="C43" s="21"/>
      <c r="D43" s="21" t="s">
        <v>4109</v>
      </c>
      <c r="E43" s="21" t="s">
        <v>4111</v>
      </c>
      <c r="G43" s="26" t="s">
        <v>341</v>
      </c>
    </row>
    <row r="44" spans="2:7" outlineLevel="1" x14ac:dyDescent="0.35">
      <c r="B44" s="46"/>
      <c r="C44" s="47"/>
      <c r="D44" s="21" t="s">
        <v>566</v>
      </c>
      <c r="E44" s="21" t="s">
        <v>567</v>
      </c>
      <c r="G44" s="26" t="s">
        <v>341</v>
      </c>
    </row>
    <row r="45" spans="2:7" ht="29" outlineLevel="1" x14ac:dyDescent="0.35">
      <c r="B45" s="46"/>
      <c r="C45" s="47"/>
      <c r="D45" s="21" t="s">
        <v>89</v>
      </c>
      <c r="E45" s="21" t="s">
        <v>568</v>
      </c>
      <c r="G45" s="26" t="s">
        <v>341</v>
      </c>
    </row>
    <row r="46" spans="2:7" outlineLevel="1" x14ac:dyDescent="0.35">
      <c r="B46" s="20"/>
      <c r="C46" s="47"/>
      <c r="D46" s="21" t="s">
        <v>1199</v>
      </c>
      <c r="E46" s="21" t="s">
        <v>90</v>
      </c>
      <c r="G46" s="26" t="s">
        <v>341</v>
      </c>
    </row>
    <row r="47" spans="2:7" ht="43.5" outlineLevel="1" x14ac:dyDescent="0.35">
      <c r="B47" s="46"/>
      <c r="C47" s="47"/>
      <c r="D47" s="21" t="s">
        <v>91</v>
      </c>
      <c r="E47" s="21" t="s">
        <v>4041</v>
      </c>
      <c r="G47" s="26" t="s">
        <v>341</v>
      </c>
    </row>
    <row r="48" spans="2:7" ht="116" outlineLevel="1" x14ac:dyDescent="0.35">
      <c r="B48" s="46"/>
      <c r="C48" s="47"/>
      <c r="D48" s="21" t="s">
        <v>3421</v>
      </c>
      <c r="E48" s="21" t="s">
        <v>1721</v>
      </c>
      <c r="G48" s="26" t="s">
        <v>341</v>
      </c>
    </row>
    <row r="49" spans="2:7" ht="43.5" outlineLevel="1" x14ac:dyDescent="0.35">
      <c r="B49" s="46"/>
      <c r="C49" s="47"/>
      <c r="D49" s="21" t="s">
        <v>4481</v>
      </c>
      <c r="E49" s="21" t="s">
        <v>4483</v>
      </c>
      <c r="G49" s="26" t="s">
        <v>341</v>
      </c>
    </row>
    <row r="50" spans="2:7" ht="58" outlineLevel="1" x14ac:dyDescent="0.35">
      <c r="B50" s="46"/>
      <c r="C50" s="47"/>
      <c r="D50" s="21" t="s">
        <v>4482</v>
      </c>
      <c r="E50" s="21" t="s">
        <v>4484</v>
      </c>
      <c r="G50" s="26" t="s">
        <v>341</v>
      </c>
    </row>
    <row r="51" spans="2:7" ht="101.5" outlineLevel="1" x14ac:dyDescent="0.35">
      <c r="B51" s="46"/>
      <c r="C51" s="47"/>
      <c r="D51" s="21" t="s">
        <v>1722</v>
      </c>
      <c r="E51" s="21" t="s">
        <v>1738</v>
      </c>
      <c r="G51" s="26" t="s">
        <v>341</v>
      </c>
    </row>
    <row r="52" spans="2:7" ht="29" outlineLevel="1" x14ac:dyDescent="0.35">
      <c r="B52" s="46"/>
      <c r="C52" s="47"/>
      <c r="D52" s="21" t="s">
        <v>398</v>
      </c>
      <c r="E52" s="21" t="s">
        <v>399</v>
      </c>
      <c r="G52" s="26" t="s">
        <v>341</v>
      </c>
    </row>
    <row r="53" spans="2:7" outlineLevel="1" x14ac:dyDescent="0.35">
      <c r="B53" s="19"/>
      <c r="C53" s="19"/>
      <c r="D53" s="21" t="s">
        <v>400</v>
      </c>
      <c r="E53" s="21" t="s">
        <v>4375</v>
      </c>
      <c r="G53" s="26" t="s">
        <v>341</v>
      </c>
    </row>
    <row r="54" spans="2:7" ht="72.5" outlineLevel="1" x14ac:dyDescent="0.35">
      <c r="B54" s="19"/>
      <c r="C54" s="19"/>
      <c r="D54" s="21" t="s">
        <v>2598</v>
      </c>
      <c r="E54" s="21" t="s">
        <v>2972</v>
      </c>
      <c r="G54" s="26" t="s">
        <v>341</v>
      </c>
    </row>
    <row r="55" spans="2:7" x14ac:dyDescent="0.35">
      <c r="B55" s="46"/>
      <c r="C55" s="47"/>
      <c r="D55" s="3" t="s">
        <v>718</v>
      </c>
      <c r="E55" s="47"/>
      <c r="G55" s="52"/>
    </row>
    <row r="56" spans="2:7" ht="72.5" outlineLevel="1" x14ac:dyDescent="0.35">
      <c r="B56" s="46"/>
      <c r="C56" s="47"/>
      <c r="D56" s="21" t="s">
        <v>864</v>
      </c>
      <c r="E56" s="21" t="s">
        <v>267</v>
      </c>
      <c r="G56" s="26" t="s">
        <v>341</v>
      </c>
    </row>
    <row r="57" spans="2:7" ht="130.5" outlineLevel="1" x14ac:dyDescent="0.35">
      <c r="B57" s="46"/>
      <c r="C57" s="47"/>
      <c r="D57" s="21" t="s">
        <v>882</v>
      </c>
      <c r="E57" s="21" t="s">
        <v>3916</v>
      </c>
      <c r="G57" s="26" t="s">
        <v>341</v>
      </c>
    </row>
    <row r="58" spans="2:7" x14ac:dyDescent="0.35">
      <c r="B58" s="46"/>
      <c r="C58" s="47"/>
      <c r="D58" s="3" t="s">
        <v>717</v>
      </c>
      <c r="E58" s="47"/>
      <c r="G58" s="52"/>
    </row>
    <row r="59" spans="2:7" ht="29" outlineLevel="1" x14ac:dyDescent="0.35">
      <c r="B59" s="46"/>
      <c r="C59" s="47"/>
      <c r="D59" s="21" t="s">
        <v>390</v>
      </c>
      <c r="E59" s="21" t="s">
        <v>719</v>
      </c>
      <c r="G59" s="26" t="s">
        <v>341</v>
      </c>
    </row>
    <row r="60" spans="2:7" ht="29" outlineLevel="1" x14ac:dyDescent="0.35">
      <c r="B60" s="46"/>
      <c r="C60" s="47"/>
      <c r="D60" s="21" t="s">
        <v>394</v>
      </c>
      <c r="E60" s="21" t="s">
        <v>564</v>
      </c>
      <c r="G60" s="26" t="s">
        <v>341</v>
      </c>
    </row>
    <row r="61" spans="2:7" ht="29" outlineLevel="1" x14ac:dyDescent="0.35">
      <c r="B61" s="46"/>
      <c r="C61" s="47"/>
      <c r="D61" s="21" t="s">
        <v>388</v>
      </c>
      <c r="E61" s="21" t="s">
        <v>389</v>
      </c>
      <c r="G61" s="26" t="s">
        <v>341</v>
      </c>
    </row>
    <row r="62" spans="2:7" x14ac:dyDescent="0.35">
      <c r="B62" s="46"/>
      <c r="C62" s="20" t="s">
        <v>92</v>
      </c>
      <c r="D62" s="47"/>
      <c r="E62" s="47"/>
      <c r="G62" s="53">
        <f>COUNTIF(G64:G118,"Yes")</f>
        <v>40</v>
      </c>
    </row>
    <row r="63" spans="2:7" x14ac:dyDescent="0.35">
      <c r="B63" s="46"/>
      <c r="C63" s="20"/>
      <c r="D63" s="3" t="s">
        <v>526</v>
      </c>
      <c r="E63" s="47"/>
      <c r="G63" s="52"/>
    </row>
    <row r="64" spans="2:7" ht="72.5" outlineLevel="1" x14ac:dyDescent="0.35">
      <c r="B64" s="46"/>
      <c r="C64" s="20"/>
      <c r="D64" s="21" t="s">
        <v>3422</v>
      </c>
      <c r="E64" s="21" t="s">
        <v>569</v>
      </c>
      <c r="G64" s="26" t="s">
        <v>341</v>
      </c>
    </row>
    <row r="65" spans="2:7" ht="58" outlineLevel="1" x14ac:dyDescent="0.35">
      <c r="B65" s="46"/>
      <c r="C65" s="20"/>
      <c r="D65" s="21" t="s">
        <v>527</v>
      </c>
      <c r="E65" s="21" t="s">
        <v>570</v>
      </c>
      <c r="G65" s="26" t="s">
        <v>341</v>
      </c>
    </row>
    <row r="66" spans="2:7" x14ac:dyDescent="0.35">
      <c r="B66" s="46"/>
      <c r="C66" s="20"/>
      <c r="D66" s="3" t="s">
        <v>272</v>
      </c>
      <c r="E66" s="47"/>
      <c r="G66" s="52"/>
    </row>
    <row r="67" spans="2:7" outlineLevel="1" x14ac:dyDescent="0.35">
      <c r="B67" s="46"/>
      <c r="C67" s="20"/>
      <c r="D67" s="3" t="s">
        <v>883</v>
      </c>
      <c r="E67" s="47"/>
      <c r="G67" s="52"/>
    </row>
    <row r="68" spans="2:7" ht="29" outlineLevel="1" x14ac:dyDescent="0.35">
      <c r="B68" s="46"/>
      <c r="C68" s="47"/>
      <c r="D68" s="21" t="s">
        <v>1517</v>
      </c>
      <c r="E68" s="21" t="s">
        <v>723</v>
      </c>
      <c r="G68" s="26" t="s">
        <v>341</v>
      </c>
    </row>
    <row r="69" spans="2:7" ht="29" outlineLevel="1" x14ac:dyDescent="0.35">
      <c r="B69" s="46"/>
      <c r="C69" s="47"/>
      <c r="D69" s="21" t="s">
        <v>93</v>
      </c>
      <c r="E69" s="21" t="s">
        <v>724</v>
      </c>
      <c r="G69" s="26" t="s">
        <v>341</v>
      </c>
    </row>
    <row r="70" spans="2:7" outlineLevel="1" x14ac:dyDescent="0.35">
      <c r="B70" s="46"/>
      <c r="C70" s="47"/>
      <c r="D70" s="3" t="s">
        <v>884</v>
      </c>
      <c r="E70" s="47"/>
      <c r="G70" s="52"/>
    </row>
    <row r="71" spans="2:7" outlineLevel="1" x14ac:dyDescent="0.35">
      <c r="B71" s="46"/>
      <c r="C71" s="47"/>
      <c r="D71" s="21" t="s">
        <v>94</v>
      </c>
      <c r="E71" s="21" t="s">
        <v>571</v>
      </c>
      <c r="G71" s="26" t="s">
        <v>341</v>
      </c>
    </row>
    <row r="72" spans="2:7" outlineLevel="1" x14ac:dyDescent="0.35">
      <c r="B72" s="46"/>
      <c r="C72" s="47"/>
      <c r="D72" s="21" t="s">
        <v>95</v>
      </c>
      <c r="E72" s="21" t="s">
        <v>96</v>
      </c>
      <c r="G72" s="26" t="s">
        <v>341</v>
      </c>
    </row>
    <row r="73" spans="2:7" outlineLevel="1" x14ac:dyDescent="0.35">
      <c r="B73" s="46"/>
      <c r="C73" s="47"/>
      <c r="D73" s="3" t="s">
        <v>885</v>
      </c>
      <c r="E73" s="47"/>
      <c r="G73" s="52"/>
    </row>
    <row r="74" spans="2:7" ht="29" outlineLevel="1" x14ac:dyDescent="0.35">
      <c r="B74" s="46"/>
      <c r="C74" s="47"/>
      <c r="D74" s="21" t="s">
        <v>1198</v>
      </c>
      <c r="E74" s="21" t="s">
        <v>229</v>
      </c>
      <c r="G74" s="26" t="s">
        <v>341</v>
      </c>
    </row>
    <row r="75" spans="2:7" outlineLevel="1" x14ac:dyDescent="0.35">
      <c r="B75" s="21"/>
      <c r="C75" s="21"/>
      <c r="D75" s="21" t="s">
        <v>401</v>
      </c>
      <c r="E75" s="21" t="s">
        <v>469</v>
      </c>
      <c r="G75" s="26" t="s">
        <v>341</v>
      </c>
    </row>
    <row r="76" spans="2:7" ht="29" outlineLevel="1" x14ac:dyDescent="0.35">
      <c r="B76" s="46"/>
      <c r="C76" s="47"/>
      <c r="D76" s="21" t="s">
        <v>97</v>
      </c>
      <c r="E76" s="21" t="s">
        <v>230</v>
      </c>
      <c r="G76" s="26" t="s">
        <v>341</v>
      </c>
    </row>
    <row r="77" spans="2:7" ht="43.5" outlineLevel="1" x14ac:dyDescent="0.35">
      <c r="B77" s="46"/>
      <c r="C77" s="47"/>
      <c r="D77" s="21" t="s">
        <v>2953</v>
      </c>
      <c r="E77" s="21" t="s">
        <v>3896</v>
      </c>
      <c r="G77" s="26" t="s">
        <v>341</v>
      </c>
    </row>
    <row r="78" spans="2:7" ht="29" outlineLevel="1" x14ac:dyDescent="0.35">
      <c r="B78" s="46"/>
      <c r="C78" s="47"/>
      <c r="D78" s="21" t="s">
        <v>532</v>
      </c>
      <c r="E78" s="21" t="s">
        <v>4031</v>
      </c>
      <c r="G78" s="26" t="s">
        <v>341</v>
      </c>
    </row>
    <row r="79" spans="2:7" ht="43.5" outlineLevel="1" x14ac:dyDescent="0.35">
      <c r="B79" s="46"/>
      <c r="C79" s="47"/>
      <c r="D79" s="21" t="s">
        <v>2954</v>
      </c>
      <c r="E79" s="21" t="s">
        <v>3897</v>
      </c>
      <c r="G79" s="26" t="s">
        <v>341</v>
      </c>
    </row>
    <row r="80" spans="2:7" outlineLevel="1" x14ac:dyDescent="0.35">
      <c r="B80" s="46"/>
      <c r="C80" s="47"/>
      <c r="D80" s="3" t="s">
        <v>1645</v>
      </c>
      <c r="E80" s="47"/>
      <c r="G80" s="52"/>
    </row>
    <row r="81" spans="2:7" ht="29" outlineLevel="1" x14ac:dyDescent="0.35">
      <c r="B81" s="46"/>
      <c r="C81" s="47"/>
      <c r="D81" s="21" t="s">
        <v>1</v>
      </c>
      <c r="E81" s="21" t="s">
        <v>3898</v>
      </c>
      <c r="G81" s="26" t="s">
        <v>341</v>
      </c>
    </row>
    <row r="82" spans="2:7" x14ac:dyDescent="0.35">
      <c r="B82" s="46"/>
      <c r="C82" s="20"/>
      <c r="D82" s="3" t="s">
        <v>2981</v>
      </c>
      <c r="E82" s="47"/>
      <c r="G82" s="52"/>
    </row>
    <row r="83" spans="2:7" outlineLevel="1" x14ac:dyDescent="0.35">
      <c r="B83" s="46"/>
      <c r="C83" s="47"/>
      <c r="D83" s="3" t="s">
        <v>2982</v>
      </c>
      <c r="E83" s="47"/>
      <c r="G83" s="52"/>
    </row>
    <row r="84" spans="2:7" ht="29" outlineLevel="1" x14ac:dyDescent="0.35">
      <c r="B84" s="20"/>
      <c r="C84" s="47"/>
      <c r="D84" s="21" t="s">
        <v>529</v>
      </c>
      <c r="E84" s="21" t="s">
        <v>572</v>
      </c>
      <c r="G84" s="26" t="s">
        <v>341</v>
      </c>
    </row>
    <row r="85" spans="2:7" ht="29" outlineLevel="1" x14ac:dyDescent="0.35">
      <c r="B85" s="46"/>
      <c r="C85" s="47"/>
      <c r="D85" s="21" t="s">
        <v>528</v>
      </c>
      <c r="E85" s="21" t="s">
        <v>573</v>
      </c>
      <c r="G85" s="26" t="s">
        <v>341</v>
      </c>
    </row>
    <row r="86" spans="2:7" outlineLevel="1" x14ac:dyDescent="0.35">
      <c r="B86" s="20"/>
      <c r="C86" s="47"/>
      <c r="D86" s="3" t="s">
        <v>2983</v>
      </c>
      <c r="E86" s="47"/>
      <c r="G86" s="52"/>
    </row>
    <row r="87" spans="2:7" ht="29" outlineLevel="1" x14ac:dyDescent="0.35">
      <c r="B87" s="20"/>
      <c r="C87" s="47"/>
      <c r="D87" s="21" t="s">
        <v>531</v>
      </c>
      <c r="E87" s="21" t="s">
        <v>574</v>
      </c>
      <c r="G87" s="26" t="s">
        <v>341</v>
      </c>
    </row>
    <row r="88" spans="2:7" ht="29" outlineLevel="1" x14ac:dyDescent="0.35">
      <c r="B88" s="20"/>
      <c r="C88" s="47"/>
      <c r="D88" s="21" t="s">
        <v>530</v>
      </c>
      <c r="E88" s="21" t="s">
        <v>1644</v>
      </c>
      <c r="G88" s="26" t="s">
        <v>341</v>
      </c>
    </row>
    <row r="89" spans="2:7" x14ac:dyDescent="0.35">
      <c r="B89" s="20"/>
      <c r="C89" s="20"/>
      <c r="D89" s="3" t="s">
        <v>402</v>
      </c>
      <c r="E89" s="47"/>
      <c r="G89" s="52"/>
    </row>
    <row r="90" spans="2:7" outlineLevel="1" x14ac:dyDescent="0.35">
      <c r="B90" s="20"/>
      <c r="C90" s="47"/>
      <c r="D90" s="3" t="s">
        <v>455</v>
      </c>
      <c r="E90" s="47"/>
      <c r="G90" s="52"/>
    </row>
    <row r="91" spans="2:7" outlineLevel="1" x14ac:dyDescent="0.35">
      <c r="B91" s="46"/>
      <c r="C91" s="47"/>
      <c r="D91" s="21" t="s">
        <v>2</v>
      </c>
      <c r="E91" s="21" t="s">
        <v>725</v>
      </c>
      <c r="G91" s="26" t="s">
        <v>341</v>
      </c>
    </row>
    <row r="92" spans="2:7" outlineLevel="1" x14ac:dyDescent="0.35">
      <c r="B92" s="20"/>
      <c r="C92" s="47"/>
      <c r="D92" s="21" t="s">
        <v>3</v>
      </c>
      <c r="E92" s="21" t="s">
        <v>98</v>
      </c>
      <c r="G92" s="26" t="s">
        <v>341</v>
      </c>
    </row>
    <row r="93" spans="2:7" ht="29" outlineLevel="1" x14ac:dyDescent="0.35">
      <c r="B93" s="46"/>
      <c r="C93" s="47"/>
      <c r="D93" s="21" t="s">
        <v>1518</v>
      </c>
      <c r="E93" s="21" t="s">
        <v>99</v>
      </c>
      <c r="G93" s="26" t="s">
        <v>341</v>
      </c>
    </row>
    <row r="94" spans="2:7" outlineLevel="1" x14ac:dyDescent="0.35">
      <c r="B94" s="46"/>
      <c r="C94" s="47"/>
      <c r="D94" s="3" t="s">
        <v>403</v>
      </c>
      <c r="E94" s="47"/>
      <c r="G94" s="52"/>
    </row>
    <row r="95" spans="2:7" ht="43.5" outlineLevel="1" x14ac:dyDescent="0.35">
      <c r="B95" s="46"/>
      <c r="C95" s="47"/>
      <c r="D95" s="21" t="s">
        <v>100</v>
      </c>
      <c r="E95" s="21" t="s">
        <v>1202</v>
      </c>
      <c r="G95" s="26" t="s">
        <v>341</v>
      </c>
    </row>
    <row r="96" spans="2:7" ht="29" outlineLevel="1" x14ac:dyDescent="0.35">
      <c r="B96" s="46"/>
      <c r="C96" s="47"/>
      <c r="D96" s="21" t="s">
        <v>101</v>
      </c>
      <c r="E96" s="21" t="s">
        <v>231</v>
      </c>
      <c r="G96" s="26" t="s">
        <v>341</v>
      </c>
    </row>
    <row r="97" spans="2:7" ht="29" outlineLevel="1" x14ac:dyDescent="0.35">
      <c r="B97" s="46"/>
      <c r="C97" s="47"/>
      <c r="D97" s="21" t="s">
        <v>102</v>
      </c>
      <c r="E97" s="21" t="s">
        <v>232</v>
      </c>
      <c r="G97" s="26" t="s">
        <v>341</v>
      </c>
    </row>
    <row r="98" spans="2:7" ht="29" outlineLevel="1" x14ac:dyDescent="0.35">
      <c r="B98" s="46"/>
      <c r="C98" s="47"/>
      <c r="D98" s="21" t="s">
        <v>103</v>
      </c>
      <c r="E98" s="21" t="s">
        <v>104</v>
      </c>
      <c r="G98" s="26" t="s">
        <v>341</v>
      </c>
    </row>
    <row r="99" spans="2:7" outlineLevel="1" x14ac:dyDescent="0.35">
      <c r="B99" s="46"/>
      <c r="C99" s="47"/>
      <c r="D99" s="21" t="s">
        <v>105</v>
      </c>
      <c r="E99" s="21" t="s">
        <v>233</v>
      </c>
      <c r="G99" s="26" t="s">
        <v>341</v>
      </c>
    </row>
    <row r="100" spans="2:7" outlineLevel="1" x14ac:dyDescent="0.35">
      <c r="B100" s="46"/>
      <c r="C100" s="47"/>
      <c r="D100" s="21" t="s">
        <v>106</v>
      </c>
      <c r="E100" s="21" t="s">
        <v>1516</v>
      </c>
      <c r="G100" s="26" t="s">
        <v>341</v>
      </c>
    </row>
    <row r="101" spans="2:7" outlineLevel="1" x14ac:dyDescent="0.35">
      <c r="B101" s="46"/>
      <c r="D101" s="3" t="s">
        <v>2985</v>
      </c>
      <c r="E101" s="47"/>
      <c r="G101" s="52"/>
    </row>
    <row r="102" spans="2:7" outlineLevel="1" x14ac:dyDescent="0.35">
      <c r="B102" s="20"/>
      <c r="C102" s="47"/>
      <c r="D102" s="21" t="s">
        <v>2816</v>
      </c>
      <c r="E102" s="21" t="s">
        <v>575</v>
      </c>
      <c r="G102" s="26" t="s">
        <v>341</v>
      </c>
    </row>
    <row r="103" spans="2:7" ht="29" outlineLevel="1" x14ac:dyDescent="0.35">
      <c r="B103" s="46"/>
      <c r="C103" s="47"/>
      <c r="D103" s="21" t="s">
        <v>2817</v>
      </c>
      <c r="E103" s="21" t="s">
        <v>2986</v>
      </c>
      <c r="G103" s="26" t="s">
        <v>341</v>
      </c>
    </row>
    <row r="104" spans="2:7" outlineLevel="1" x14ac:dyDescent="0.35">
      <c r="B104" s="46"/>
      <c r="C104" s="47"/>
      <c r="D104" s="21" t="s">
        <v>2815</v>
      </c>
      <c r="E104" s="21" t="s">
        <v>2987</v>
      </c>
      <c r="G104" s="26" t="s">
        <v>341</v>
      </c>
    </row>
    <row r="105" spans="2:7" x14ac:dyDescent="0.35">
      <c r="B105" s="46"/>
      <c r="C105" s="47"/>
      <c r="D105" s="3" t="s">
        <v>1694</v>
      </c>
      <c r="E105" s="47"/>
      <c r="G105" s="52"/>
    </row>
    <row r="106" spans="2:7" ht="29" outlineLevel="1" x14ac:dyDescent="0.35">
      <c r="B106" s="46"/>
      <c r="C106" s="47"/>
      <c r="D106" s="21" t="s">
        <v>2818</v>
      </c>
      <c r="E106" s="21" t="s">
        <v>2988</v>
      </c>
      <c r="G106" s="26" t="s">
        <v>341</v>
      </c>
    </row>
    <row r="107" spans="2:7" ht="30" customHeight="1" outlineLevel="1" x14ac:dyDescent="0.35">
      <c r="B107" s="46"/>
      <c r="C107" s="47"/>
      <c r="D107" s="21" t="s">
        <v>2984</v>
      </c>
      <c r="E107" s="21" t="s">
        <v>4002</v>
      </c>
      <c r="G107" s="26" t="s">
        <v>341</v>
      </c>
    </row>
    <row r="108" spans="2:7" x14ac:dyDescent="0.35">
      <c r="B108" s="46"/>
      <c r="C108" s="47"/>
      <c r="D108" s="3" t="s">
        <v>901</v>
      </c>
      <c r="E108" s="47"/>
      <c r="G108" s="52"/>
    </row>
    <row r="109" spans="2:7" ht="29" outlineLevel="1" x14ac:dyDescent="0.35">
      <c r="B109" s="46"/>
      <c r="C109" s="20"/>
      <c r="D109" s="21" t="s">
        <v>4353</v>
      </c>
      <c r="E109" s="21" t="s">
        <v>4352</v>
      </c>
      <c r="G109" s="26" t="s">
        <v>341</v>
      </c>
    </row>
    <row r="110" spans="2:7" outlineLevel="1" x14ac:dyDescent="0.35">
      <c r="B110" s="46"/>
      <c r="C110" s="20"/>
      <c r="D110" s="21" t="s">
        <v>4354</v>
      </c>
      <c r="E110" s="21" t="s">
        <v>4375</v>
      </c>
      <c r="G110" s="26" t="s">
        <v>341</v>
      </c>
    </row>
    <row r="111" spans="2:7" ht="91.5" customHeight="1" outlineLevel="1" x14ac:dyDescent="0.35">
      <c r="B111" s="46"/>
      <c r="C111" s="20"/>
      <c r="D111" s="21" t="s">
        <v>107</v>
      </c>
      <c r="E111" s="21" t="s">
        <v>4048</v>
      </c>
      <c r="G111" s="26" t="s">
        <v>341</v>
      </c>
    </row>
    <row r="112" spans="2:7" ht="130.5" outlineLevel="1" x14ac:dyDescent="0.35">
      <c r="B112" s="46"/>
      <c r="C112" s="21"/>
      <c r="D112" s="21" t="s">
        <v>108</v>
      </c>
      <c r="E112" s="21" t="s">
        <v>4050</v>
      </c>
      <c r="G112" s="26" t="s">
        <v>341</v>
      </c>
    </row>
    <row r="113" spans="2:7" x14ac:dyDescent="0.35">
      <c r="B113" s="46"/>
      <c r="C113" s="20"/>
      <c r="D113" s="3" t="s">
        <v>913</v>
      </c>
      <c r="E113" s="47"/>
      <c r="G113" s="52"/>
    </row>
    <row r="114" spans="2:7" outlineLevel="1" x14ac:dyDescent="0.35">
      <c r="B114" s="46"/>
      <c r="C114" s="20"/>
      <c r="D114" s="21" t="s">
        <v>2811</v>
      </c>
      <c r="E114" s="21" t="s">
        <v>576</v>
      </c>
      <c r="G114" s="26" t="s">
        <v>341</v>
      </c>
    </row>
    <row r="115" spans="2:7" ht="43.5" outlineLevel="1" x14ac:dyDescent="0.35">
      <c r="B115" s="46"/>
      <c r="C115" s="20"/>
      <c r="D115" s="21" t="s">
        <v>1306</v>
      </c>
      <c r="E115" s="21" t="s">
        <v>432</v>
      </c>
      <c r="G115" s="26" t="s">
        <v>341</v>
      </c>
    </row>
    <row r="116" spans="2:7" ht="29" outlineLevel="1" x14ac:dyDescent="0.35">
      <c r="B116" s="46"/>
      <c r="C116" s="20"/>
      <c r="D116" s="21" t="s">
        <v>863</v>
      </c>
      <c r="E116" s="21" t="s">
        <v>442</v>
      </c>
      <c r="G116" s="26" t="s">
        <v>341</v>
      </c>
    </row>
    <row r="117" spans="2:7" outlineLevel="1" x14ac:dyDescent="0.35">
      <c r="B117" s="46"/>
      <c r="C117" s="20"/>
      <c r="D117" s="21" t="s">
        <v>1381</v>
      </c>
      <c r="E117" s="21" t="s">
        <v>577</v>
      </c>
      <c r="G117" s="26" t="s">
        <v>341</v>
      </c>
    </row>
    <row r="118" spans="2:7" outlineLevel="1" x14ac:dyDescent="0.35">
      <c r="B118" s="46"/>
      <c r="C118" s="20"/>
      <c r="D118" s="21" t="s">
        <v>578</v>
      </c>
      <c r="E118" s="21" t="s">
        <v>579</v>
      </c>
      <c r="G118" s="26" t="s">
        <v>341</v>
      </c>
    </row>
    <row r="119" spans="2:7" x14ac:dyDescent="0.35">
      <c r="B119" s="46"/>
      <c r="C119" s="20" t="s">
        <v>902</v>
      </c>
      <c r="D119" s="47"/>
      <c r="E119" s="47"/>
      <c r="G119" s="53">
        <f>COUNTIF(G121:G174,"Yes")</f>
        <v>46</v>
      </c>
    </row>
    <row r="120" spans="2:7" x14ac:dyDescent="0.35">
      <c r="B120" s="46"/>
      <c r="C120" s="20"/>
      <c r="D120" s="3" t="s">
        <v>404</v>
      </c>
      <c r="E120" s="47"/>
      <c r="G120" s="52"/>
    </row>
    <row r="121" spans="2:7" ht="29" outlineLevel="1" x14ac:dyDescent="0.35">
      <c r="B121" s="19"/>
      <c r="C121" s="19"/>
      <c r="D121" s="21" t="s">
        <v>405</v>
      </c>
      <c r="E121" s="21" t="s">
        <v>406</v>
      </c>
      <c r="G121" s="26" t="s">
        <v>341</v>
      </c>
    </row>
    <row r="122" spans="2:7" ht="29" outlineLevel="1" x14ac:dyDescent="0.35">
      <c r="B122" s="19"/>
      <c r="C122" s="19"/>
      <c r="D122" s="21" t="s">
        <v>407</v>
      </c>
      <c r="E122" s="21" t="s">
        <v>726</v>
      </c>
      <c r="G122" s="26" t="s">
        <v>341</v>
      </c>
    </row>
    <row r="123" spans="2:7" ht="29" outlineLevel="1" x14ac:dyDescent="0.35">
      <c r="B123" s="21"/>
      <c r="C123" s="21"/>
      <c r="D123" s="21" t="s">
        <v>408</v>
      </c>
      <c r="E123" s="21" t="s">
        <v>409</v>
      </c>
      <c r="G123" s="26" t="s">
        <v>341</v>
      </c>
    </row>
    <row r="124" spans="2:7" ht="29" outlineLevel="1" x14ac:dyDescent="0.35">
      <c r="B124" s="21"/>
      <c r="C124" s="21"/>
      <c r="D124" s="21" t="s">
        <v>1421</v>
      </c>
      <c r="E124" s="21" t="s">
        <v>666</v>
      </c>
      <c r="G124" s="26" t="s">
        <v>341</v>
      </c>
    </row>
    <row r="125" spans="2:7" x14ac:dyDescent="0.35">
      <c r="B125" s="46"/>
      <c r="C125" s="20"/>
      <c r="D125" s="3" t="s">
        <v>410</v>
      </c>
      <c r="E125" s="47"/>
      <c r="G125" s="52"/>
    </row>
    <row r="126" spans="2:7" ht="29" outlineLevel="1" x14ac:dyDescent="0.35">
      <c r="B126" s="21"/>
      <c r="C126" s="21"/>
      <c r="D126" s="21" t="s">
        <v>493</v>
      </c>
      <c r="E126" s="21" t="s">
        <v>411</v>
      </c>
      <c r="G126" s="26" t="s">
        <v>341</v>
      </c>
    </row>
    <row r="127" spans="2:7" ht="29" outlineLevel="1" x14ac:dyDescent="0.35">
      <c r="B127" s="21"/>
      <c r="C127" s="21"/>
      <c r="D127" s="21" t="s">
        <v>412</v>
      </c>
      <c r="E127" s="21" t="s">
        <v>4003</v>
      </c>
      <c r="G127" s="26" t="s">
        <v>341</v>
      </c>
    </row>
    <row r="128" spans="2:7" ht="29" outlineLevel="1" x14ac:dyDescent="0.35">
      <c r="B128" s="21"/>
      <c r="C128" s="21"/>
      <c r="D128" s="21" t="s">
        <v>413</v>
      </c>
      <c r="E128" s="21" t="s">
        <v>414</v>
      </c>
      <c r="G128" s="26" t="s">
        <v>341</v>
      </c>
    </row>
    <row r="129" spans="2:7" ht="29" outlineLevel="1" x14ac:dyDescent="0.35">
      <c r="B129" s="21"/>
      <c r="C129" s="21"/>
      <c r="D129" s="21" t="s">
        <v>1515</v>
      </c>
      <c r="E129" s="55" t="s">
        <v>667</v>
      </c>
      <c r="G129" s="26" t="s">
        <v>341</v>
      </c>
    </row>
    <row r="130" spans="2:7" x14ac:dyDescent="0.35">
      <c r="B130" s="46"/>
      <c r="C130" s="47"/>
      <c r="D130" s="3" t="s">
        <v>415</v>
      </c>
      <c r="E130" s="47"/>
      <c r="G130" s="52"/>
    </row>
    <row r="131" spans="2:7" ht="29" outlineLevel="1" x14ac:dyDescent="0.35">
      <c r="B131" s="21"/>
      <c r="C131" s="21"/>
      <c r="D131" s="21" t="s">
        <v>416</v>
      </c>
      <c r="E131" s="21" t="s">
        <v>417</v>
      </c>
      <c r="G131" s="26" t="s">
        <v>341</v>
      </c>
    </row>
    <row r="132" spans="2:7" ht="29" outlineLevel="1" x14ac:dyDescent="0.35">
      <c r="B132" s="21"/>
      <c r="C132" s="21"/>
      <c r="D132" s="21" t="s">
        <v>418</v>
      </c>
      <c r="E132" s="21" t="s">
        <v>419</v>
      </c>
      <c r="G132" s="26" t="s">
        <v>341</v>
      </c>
    </row>
    <row r="133" spans="2:7" ht="29" outlineLevel="1" x14ac:dyDescent="0.35">
      <c r="B133" s="21"/>
      <c r="C133" s="21"/>
      <c r="D133" s="21" t="s">
        <v>420</v>
      </c>
      <c r="E133" s="21" t="s">
        <v>421</v>
      </c>
      <c r="G133" s="26" t="s">
        <v>341</v>
      </c>
    </row>
    <row r="134" spans="2:7" ht="29" outlineLevel="1" x14ac:dyDescent="0.35">
      <c r="B134" s="21"/>
      <c r="C134" s="21"/>
      <c r="D134" s="21" t="s">
        <v>422</v>
      </c>
      <c r="E134" s="21" t="s">
        <v>423</v>
      </c>
      <c r="G134" s="26" t="s">
        <v>341</v>
      </c>
    </row>
    <row r="135" spans="2:7" ht="72.5" outlineLevel="1" x14ac:dyDescent="0.35">
      <c r="B135" s="21"/>
      <c r="C135" s="21"/>
      <c r="D135" s="21" t="s">
        <v>1422</v>
      </c>
      <c r="E135" s="21" t="s">
        <v>1281</v>
      </c>
      <c r="G135" s="26" t="s">
        <v>341</v>
      </c>
    </row>
    <row r="136" spans="2:7" x14ac:dyDescent="0.35">
      <c r="B136" s="46"/>
      <c r="C136" s="47"/>
      <c r="D136" s="3" t="s">
        <v>1712</v>
      </c>
      <c r="E136" s="47"/>
      <c r="G136" s="52"/>
    </row>
    <row r="137" spans="2:7" ht="87" outlineLevel="1" x14ac:dyDescent="0.35">
      <c r="B137" s="46"/>
      <c r="C137" s="47"/>
      <c r="D137" s="21" t="s">
        <v>1713</v>
      </c>
      <c r="E137" s="21" t="s">
        <v>1270</v>
      </c>
      <c r="G137" s="26" t="s">
        <v>341</v>
      </c>
    </row>
    <row r="138" spans="2:7" ht="43.5" outlineLevel="1" x14ac:dyDescent="0.35">
      <c r="B138" s="46"/>
      <c r="C138" s="47"/>
      <c r="D138" s="21" t="s">
        <v>1714</v>
      </c>
      <c r="E138" s="21" t="s">
        <v>1434</v>
      </c>
      <c r="G138" s="26" t="s">
        <v>341</v>
      </c>
    </row>
    <row r="139" spans="2:7" outlineLevel="1" x14ac:dyDescent="0.35">
      <c r="B139" s="46"/>
      <c r="C139" s="47"/>
      <c r="D139" s="21" t="s">
        <v>1719</v>
      </c>
      <c r="E139" s="21" t="s">
        <v>950</v>
      </c>
      <c r="G139" s="26" t="s">
        <v>341</v>
      </c>
    </row>
    <row r="140" spans="2:7" x14ac:dyDescent="0.35">
      <c r="B140" s="46"/>
      <c r="C140" s="20"/>
      <c r="D140" s="3" t="s">
        <v>1715</v>
      </c>
      <c r="E140" s="47"/>
      <c r="G140" s="52"/>
    </row>
    <row r="141" spans="2:7" ht="29" outlineLevel="1" x14ac:dyDescent="0.35">
      <c r="B141" s="46"/>
      <c r="C141" s="47"/>
      <c r="D141" s="21" t="s">
        <v>3418</v>
      </c>
      <c r="E141" s="21" t="s">
        <v>728</v>
      </c>
      <c r="G141" s="26" t="s">
        <v>341</v>
      </c>
    </row>
    <row r="142" spans="2:7" ht="43.5" outlineLevel="1" x14ac:dyDescent="0.35">
      <c r="B142" s="46"/>
      <c r="C142" s="47"/>
      <c r="D142" s="21" t="s">
        <v>3419</v>
      </c>
      <c r="E142" s="21" t="s">
        <v>729</v>
      </c>
      <c r="G142" s="26" t="s">
        <v>341</v>
      </c>
    </row>
    <row r="143" spans="2:7" ht="58" outlineLevel="1" x14ac:dyDescent="0.35">
      <c r="B143" s="46"/>
      <c r="C143" s="47"/>
      <c r="D143" s="21" t="s">
        <v>4229</v>
      </c>
      <c r="E143" s="21" t="s">
        <v>4230</v>
      </c>
      <c r="G143" s="26" t="s">
        <v>341</v>
      </c>
    </row>
    <row r="144" spans="2:7" x14ac:dyDescent="0.35">
      <c r="B144" s="46"/>
      <c r="C144" s="47"/>
      <c r="D144" s="3" t="s">
        <v>1716</v>
      </c>
      <c r="E144" s="47"/>
      <c r="G144" s="52"/>
    </row>
    <row r="145" spans="2:7" ht="72.5" outlineLevel="1" x14ac:dyDescent="0.35">
      <c r="B145" s="46"/>
      <c r="C145" s="47"/>
      <c r="D145" s="21" t="s">
        <v>1592</v>
      </c>
      <c r="E145" s="21" t="s">
        <v>267</v>
      </c>
      <c r="G145" s="26" t="s">
        <v>341</v>
      </c>
    </row>
    <row r="146" spans="2:7" ht="118.5" customHeight="1" outlineLevel="1" x14ac:dyDescent="0.35">
      <c r="B146" s="46"/>
      <c r="C146" s="47"/>
      <c r="D146" s="21" t="s">
        <v>1548</v>
      </c>
      <c r="E146" s="21" t="s">
        <v>3916</v>
      </c>
      <c r="G146" s="26" t="s">
        <v>341</v>
      </c>
    </row>
    <row r="147" spans="2:7" x14ac:dyDescent="0.35">
      <c r="B147" s="46"/>
      <c r="C147" s="47"/>
      <c r="D147" s="3" t="s">
        <v>3472</v>
      </c>
      <c r="E147" s="47"/>
      <c r="G147" s="52"/>
    </row>
    <row r="148" spans="2:7" outlineLevel="1" x14ac:dyDescent="0.35">
      <c r="B148" s="46"/>
      <c r="C148" s="47"/>
      <c r="D148" s="21" t="s">
        <v>840</v>
      </c>
      <c r="E148" s="21" t="s">
        <v>949</v>
      </c>
      <c r="G148" s="26" t="s">
        <v>341</v>
      </c>
    </row>
    <row r="149" spans="2:7" outlineLevel="1" x14ac:dyDescent="0.35">
      <c r="B149" s="46"/>
      <c r="C149" s="47"/>
      <c r="D149" s="56" t="s">
        <v>3420</v>
      </c>
      <c r="E149" s="21" t="s">
        <v>580</v>
      </c>
      <c r="G149" s="26" t="s">
        <v>341</v>
      </c>
    </row>
    <row r="150" spans="2:7" ht="29" outlineLevel="1" x14ac:dyDescent="0.35">
      <c r="B150" s="46"/>
      <c r="C150" s="47"/>
      <c r="D150" s="21" t="s">
        <v>1550</v>
      </c>
      <c r="E150" s="21" t="s">
        <v>581</v>
      </c>
      <c r="G150" s="26" t="s">
        <v>341</v>
      </c>
    </row>
    <row r="151" spans="2:7" outlineLevel="1" x14ac:dyDescent="0.35">
      <c r="B151" s="46"/>
      <c r="C151" s="47"/>
      <c r="D151" s="21" t="s">
        <v>841</v>
      </c>
      <c r="E151" s="21" t="s">
        <v>950</v>
      </c>
      <c r="G151" s="26" t="s">
        <v>341</v>
      </c>
    </row>
    <row r="152" spans="2:7" x14ac:dyDescent="0.35">
      <c r="B152" s="46"/>
      <c r="C152" s="47"/>
      <c r="D152" s="3" t="s">
        <v>1717</v>
      </c>
      <c r="E152" s="47"/>
      <c r="G152" s="52"/>
    </row>
    <row r="153" spans="2:7" ht="72.5" outlineLevel="1" x14ac:dyDescent="0.35">
      <c r="B153" s="46"/>
      <c r="C153" s="47"/>
      <c r="D153" s="21" t="s">
        <v>74</v>
      </c>
      <c r="E153" s="21" t="s">
        <v>894</v>
      </c>
      <c r="G153" s="26" t="s">
        <v>341</v>
      </c>
    </row>
    <row r="154" spans="2:7" outlineLevel="1" x14ac:dyDescent="0.35">
      <c r="B154" s="46"/>
      <c r="C154" s="47"/>
      <c r="D154" s="21" t="s">
        <v>4234</v>
      </c>
      <c r="E154" s="21" t="s">
        <v>4235</v>
      </c>
      <c r="G154" s="26" t="s">
        <v>341</v>
      </c>
    </row>
    <row r="155" spans="2:7" ht="58" outlineLevel="1" x14ac:dyDescent="0.35">
      <c r="B155" s="46"/>
      <c r="C155" s="47"/>
      <c r="D155" s="21" t="s">
        <v>842</v>
      </c>
      <c r="E155" s="21" t="s">
        <v>3008</v>
      </c>
      <c r="G155" s="26" t="s">
        <v>341</v>
      </c>
    </row>
    <row r="156" spans="2:7" ht="43.5" outlineLevel="1" x14ac:dyDescent="0.35">
      <c r="B156" s="46"/>
      <c r="C156" s="47"/>
      <c r="D156" s="21" t="s">
        <v>73</v>
      </c>
      <c r="E156" s="21" t="s">
        <v>896</v>
      </c>
      <c r="G156" s="26" t="s">
        <v>341</v>
      </c>
    </row>
    <row r="157" spans="2:7" outlineLevel="1" x14ac:dyDescent="0.35">
      <c r="B157" s="46"/>
      <c r="C157" s="47"/>
      <c r="D157" s="21" t="s">
        <v>76</v>
      </c>
      <c r="E157" s="21" t="s">
        <v>947</v>
      </c>
      <c r="G157" s="26" t="s">
        <v>341</v>
      </c>
    </row>
    <row r="158" spans="2:7" ht="29" outlineLevel="1" x14ac:dyDescent="0.35">
      <c r="B158" s="46"/>
      <c r="C158" s="47"/>
      <c r="D158" s="21" t="s">
        <v>524</v>
      </c>
      <c r="E158" s="21" t="s">
        <v>525</v>
      </c>
      <c r="G158" s="26" t="s">
        <v>341</v>
      </c>
    </row>
    <row r="159" spans="2:7" ht="29" outlineLevel="1" x14ac:dyDescent="0.35">
      <c r="B159" s="19"/>
      <c r="C159" s="19"/>
      <c r="D159" s="21" t="s">
        <v>424</v>
      </c>
      <c r="E159" s="21" t="s">
        <v>4212</v>
      </c>
      <c r="G159" s="26" t="s">
        <v>341</v>
      </c>
    </row>
    <row r="160" spans="2:7" ht="43.5" outlineLevel="1" x14ac:dyDescent="0.35">
      <c r="B160" s="46"/>
      <c r="C160" s="47"/>
      <c r="D160" s="21" t="s">
        <v>75</v>
      </c>
      <c r="E160" s="21" t="s">
        <v>1748</v>
      </c>
      <c r="G160" s="26" t="s">
        <v>341</v>
      </c>
    </row>
    <row r="161" spans="2:7" ht="58" outlineLevel="1" collapsed="1" x14ac:dyDescent="0.35">
      <c r="B161" s="47"/>
      <c r="C161" s="47"/>
      <c r="D161" s="21" t="s">
        <v>425</v>
      </c>
      <c r="E161" s="21" t="s">
        <v>4010</v>
      </c>
      <c r="G161" s="26" t="s">
        <v>341</v>
      </c>
    </row>
    <row r="162" spans="2:7" ht="29" outlineLevel="1" x14ac:dyDescent="0.35">
      <c r="B162" s="47"/>
      <c r="C162" s="47"/>
      <c r="D162" s="21" t="s">
        <v>4236</v>
      </c>
      <c r="E162" s="21" t="s">
        <v>4237</v>
      </c>
      <c r="G162" s="26" t="s">
        <v>341</v>
      </c>
    </row>
    <row r="163" spans="2:7" ht="43.5" outlineLevel="1" x14ac:dyDescent="0.35">
      <c r="B163" s="47"/>
      <c r="C163" s="47"/>
      <c r="D163" s="21" t="s">
        <v>4240</v>
      </c>
      <c r="E163" s="21" t="s">
        <v>4241</v>
      </c>
      <c r="G163" s="26" t="s">
        <v>341</v>
      </c>
    </row>
    <row r="164" spans="2:7" ht="58" outlineLevel="1" x14ac:dyDescent="0.35">
      <c r="B164" s="19"/>
      <c r="C164" s="19"/>
      <c r="D164" s="21" t="s">
        <v>426</v>
      </c>
      <c r="E164" s="21" t="s">
        <v>730</v>
      </c>
      <c r="G164" s="26" t="s">
        <v>341</v>
      </c>
    </row>
    <row r="165" spans="2:7" ht="29" outlineLevel="1" x14ac:dyDescent="0.35">
      <c r="B165" s="46"/>
      <c r="C165" s="47"/>
      <c r="D165" s="21" t="s">
        <v>109</v>
      </c>
      <c r="E165" s="21" t="s">
        <v>731</v>
      </c>
      <c r="G165" s="26" t="s">
        <v>341</v>
      </c>
    </row>
    <row r="166" spans="2:7" ht="29" outlineLevel="1" x14ac:dyDescent="0.35">
      <c r="B166" s="46"/>
      <c r="C166" s="47"/>
      <c r="D166" s="21" t="s">
        <v>3773</v>
      </c>
      <c r="E166" s="21" t="s">
        <v>3774</v>
      </c>
      <c r="G166" s="26" t="s">
        <v>341</v>
      </c>
    </row>
    <row r="167" spans="2:7" ht="87" outlineLevel="1" x14ac:dyDescent="0.35">
      <c r="B167" s="46"/>
      <c r="C167" s="47"/>
      <c r="D167" s="21" t="s">
        <v>1952</v>
      </c>
      <c r="E167" s="21" t="s">
        <v>1953</v>
      </c>
      <c r="G167" s="26" t="s">
        <v>341</v>
      </c>
    </row>
    <row r="168" spans="2:7" x14ac:dyDescent="0.35">
      <c r="B168" s="46"/>
      <c r="C168" s="47"/>
      <c r="D168" s="3" t="s">
        <v>1718</v>
      </c>
      <c r="E168" s="21"/>
      <c r="G168" s="52"/>
    </row>
    <row r="169" spans="2:7" ht="29" outlineLevel="1" x14ac:dyDescent="0.35">
      <c r="B169" s="46"/>
      <c r="C169" s="47"/>
      <c r="D169" s="21" t="s">
        <v>2809</v>
      </c>
      <c r="E169" s="21" t="s">
        <v>635</v>
      </c>
      <c r="G169" s="26" t="s">
        <v>341</v>
      </c>
    </row>
    <row r="170" spans="2:7" ht="29" outlineLevel="1" x14ac:dyDescent="0.35">
      <c r="B170" s="21"/>
      <c r="C170" s="21"/>
      <c r="D170" s="21" t="s">
        <v>427</v>
      </c>
      <c r="E170" s="21" t="s">
        <v>428</v>
      </c>
      <c r="G170" s="26" t="s">
        <v>341</v>
      </c>
    </row>
    <row r="171" spans="2:7" ht="43.5" outlineLevel="1" x14ac:dyDescent="0.35">
      <c r="B171" s="21"/>
      <c r="C171" s="21"/>
      <c r="D171" s="21" t="s">
        <v>2810</v>
      </c>
      <c r="E171" s="21" t="s">
        <v>429</v>
      </c>
      <c r="G171" s="26" t="s">
        <v>341</v>
      </c>
    </row>
    <row r="172" spans="2:7" ht="29" outlineLevel="1" x14ac:dyDescent="0.35">
      <c r="B172" s="21"/>
      <c r="C172" s="21"/>
      <c r="D172" s="21" t="s">
        <v>4238</v>
      </c>
      <c r="E172" s="21" t="s">
        <v>4239</v>
      </c>
      <c r="G172" s="26" t="s">
        <v>341</v>
      </c>
    </row>
    <row r="173" spans="2:7" outlineLevel="1" x14ac:dyDescent="0.35">
      <c r="B173" s="21"/>
      <c r="C173" s="21"/>
      <c r="D173" s="21" t="s">
        <v>2813</v>
      </c>
      <c r="E173" s="21" t="s">
        <v>732</v>
      </c>
      <c r="G173" s="26" t="s">
        <v>341</v>
      </c>
    </row>
    <row r="174" spans="2:7" ht="58" outlineLevel="1" x14ac:dyDescent="0.35">
      <c r="B174" s="21"/>
      <c r="C174" s="21"/>
      <c r="D174" s="21" t="s">
        <v>430</v>
      </c>
      <c r="E174" s="21" t="s">
        <v>431</v>
      </c>
      <c r="G174" s="26" t="s">
        <v>341</v>
      </c>
    </row>
    <row r="175" spans="2:7" ht="29" x14ac:dyDescent="0.35">
      <c r="B175" s="46"/>
      <c r="C175" s="20" t="s">
        <v>3680</v>
      </c>
      <c r="D175" s="47"/>
      <c r="E175" s="46"/>
      <c r="G175" s="23">
        <f>COUNTIF(G177:G190,"Yes")</f>
        <v>12</v>
      </c>
    </row>
    <row r="176" spans="2:7" x14ac:dyDescent="0.35">
      <c r="B176" s="46"/>
      <c r="C176" s="20"/>
      <c r="D176" s="3" t="s">
        <v>3474</v>
      </c>
      <c r="E176" s="46"/>
      <c r="G176" s="52"/>
    </row>
    <row r="177" spans="2:7" ht="58" outlineLevel="1" x14ac:dyDescent="0.35">
      <c r="B177" s="46"/>
      <c r="C177" s="46"/>
      <c r="D177" s="21" t="s">
        <v>881</v>
      </c>
      <c r="E177" s="21" t="s">
        <v>720</v>
      </c>
      <c r="G177" s="26" t="s">
        <v>341</v>
      </c>
    </row>
    <row r="178" spans="2:7" ht="29" outlineLevel="1" x14ac:dyDescent="0.35">
      <c r="B178" s="46"/>
      <c r="C178" s="46"/>
      <c r="D178" s="21" t="s">
        <v>838</v>
      </c>
      <c r="E178" s="21" t="s">
        <v>1201</v>
      </c>
      <c r="G178" s="26" t="s">
        <v>341</v>
      </c>
    </row>
    <row r="179" spans="2:7" ht="58" outlineLevel="1" x14ac:dyDescent="0.35">
      <c r="B179" s="46"/>
      <c r="C179" s="46"/>
      <c r="D179" s="21" t="s">
        <v>722</v>
      </c>
      <c r="E179" s="21" t="s">
        <v>721</v>
      </c>
      <c r="G179" s="26" t="s">
        <v>341</v>
      </c>
    </row>
    <row r="180" spans="2:7" ht="43.5" outlineLevel="1" x14ac:dyDescent="0.35">
      <c r="B180" s="46"/>
      <c r="C180" s="46"/>
      <c r="D180" s="21" t="s">
        <v>839</v>
      </c>
      <c r="E180" s="21" t="s">
        <v>3962</v>
      </c>
      <c r="G180" s="26" t="s">
        <v>341</v>
      </c>
    </row>
    <row r="181" spans="2:7" ht="58" outlineLevel="1" x14ac:dyDescent="0.35">
      <c r="B181" s="46"/>
      <c r="C181" s="46"/>
      <c r="D181" s="21" t="s">
        <v>4303</v>
      </c>
      <c r="E181" s="21" t="s">
        <v>4306</v>
      </c>
      <c r="G181" s="26" t="s">
        <v>341</v>
      </c>
    </row>
    <row r="182" spans="2:7" ht="32.5" customHeight="1" outlineLevel="1" x14ac:dyDescent="0.35">
      <c r="B182" s="46"/>
      <c r="C182" s="46"/>
      <c r="D182" s="21" t="s">
        <v>4304</v>
      </c>
      <c r="E182" s="21" t="s">
        <v>4305</v>
      </c>
      <c r="G182" s="26" t="s">
        <v>341</v>
      </c>
    </row>
    <row r="183" spans="2:7" x14ac:dyDescent="0.35">
      <c r="B183" s="46"/>
      <c r="C183" s="46"/>
      <c r="D183" s="3" t="s">
        <v>1739</v>
      </c>
      <c r="E183" s="21"/>
      <c r="G183" s="52"/>
    </row>
    <row r="184" spans="2:7" ht="29" outlineLevel="1" x14ac:dyDescent="0.35">
      <c r="B184" s="46"/>
      <c r="C184" s="46"/>
      <c r="D184" s="25" t="s">
        <v>2117</v>
      </c>
      <c r="E184" s="21" t="s">
        <v>1756</v>
      </c>
      <c r="G184" s="26" t="s">
        <v>341</v>
      </c>
    </row>
    <row r="185" spans="2:7" ht="29" outlineLevel="1" x14ac:dyDescent="0.35">
      <c r="B185" s="46"/>
      <c r="C185" s="46"/>
      <c r="D185" s="25" t="s">
        <v>2116</v>
      </c>
      <c r="E185" s="21" t="s">
        <v>1741</v>
      </c>
      <c r="G185" s="26" t="s">
        <v>341</v>
      </c>
    </row>
    <row r="186" spans="2:7" ht="87" outlineLevel="1" x14ac:dyDescent="0.35">
      <c r="B186" s="46"/>
      <c r="C186" s="46"/>
      <c r="D186" s="21" t="s">
        <v>2115</v>
      </c>
      <c r="E186" s="21" t="s">
        <v>2070</v>
      </c>
      <c r="G186" s="26" t="s">
        <v>341</v>
      </c>
    </row>
    <row r="187" spans="2:7" x14ac:dyDescent="0.35">
      <c r="B187" s="46"/>
      <c r="C187" s="46"/>
      <c r="D187" s="3" t="s">
        <v>1740</v>
      </c>
      <c r="E187" s="21"/>
      <c r="G187" s="52"/>
    </row>
    <row r="188" spans="2:7" ht="116" outlineLevel="1" x14ac:dyDescent="0.35">
      <c r="B188" s="46"/>
      <c r="C188" s="46"/>
      <c r="D188" s="21" t="s">
        <v>5677</v>
      </c>
      <c r="E188" s="21" t="s">
        <v>5512</v>
      </c>
      <c r="G188" s="26" t="s">
        <v>341</v>
      </c>
    </row>
    <row r="189" spans="2:7" ht="101.5" outlineLevel="1" x14ac:dyDescent="0.35">
      <c r="B189" s="46"/>
      <c r="C189" s="46"/>
      <c r="D189" s="21" t="s">
        <v>5678</v>
      </c>
      <c r="E189" s="21" t="s">
        <v>5513</v>
      </c>
      <c r="G189" s="26" t="s">
        <v>341</v>
      </c>
    </row>
    <row r="190" spans="2:7" ht="29" outlineLevel="1" x14ac:dyDescent="0.35">
      <c r="B190" s="46"/>
      <c r="C190" s="46"/>
      <c r="D190" s="21" t="s">
        <v>2453</v>
      </c>
      <c r="E190" s="21" t="s">
        <v>5514</v>
      </c>
      <c r="G190" s="26" t="s">
        <v>341</v>
      </c>
    </row>
    <row r="191" spans="2:7" x14ac:dyDescent="0.35">
      <c r="B191" s="46"/>
      <c r="C191" s="20" t="s">
        <v>1763</v>
      </c>
      <c r="D191" s="47"/>
      <c r="E191" s="46"/>
      <c r="G191" s="53">
        <f>COUNTIF(G192:G194,"Yes")</f>
        <v>3</v>
      </c>
    </row>
    <row r="192" spans="2:7" ht="29" outlineLevel="1" x14ac:dyDescent="0.35">
      <c r="B192" s="46"/>
      <c r="C192" s="46"/>
      <c r="D192" s="21" t="s">
        <v>734</v>
      </c>
      <c r="E192" s="21" t="s">
        <v>1764</v>
      </c>
      <c r="G192" s="26" t="s">
        <v>341</v>
      </c>
    </row>
    <row r="193" spans="2:7" ht="43.5" outlineLevel="1" x14ac:dyDescent="0.35">
      <c r="B193" s="46"/>
      <c r="C193" s="46"/>
      <c r="D193" s="21" t="s">
        <v>733</v>
      </c>
      <c r="E193" s="21" t="s">
        <v>1765</v>
      </c>
      <c r="G193" s="26" t="s">
        <v>341</v>
      </c>
    </row>
    <row r="194" spans="2:7" ht="43.5" outlineLevel="1" x14ac:dyDescent="0.35">
      <c r="B194" s="46"/>
      <c r="C194" s="46"/>
      <c r="D194" s="21" t="s">
        <v>2812</v>
      </c>
      <c r="E194" s="21" t="s">
        <v>2887</v>
      </c>
      <c r="G194" s="26" t="s">
        <v>341</v>
      </c>
    </row>
    <row r="195" spans="2:7" x14ac:dyDescent="0.35">
      <c r="B195" s="46"/>
      <c r="C195" s="20" t="s">
        <v>2896</v>
      </c>
      <c r="D195" s="47"/>
      <c r="E195" s="46"/>
      <c r="G195" s="53">
        <f>COUNTIF(G196:G199,"Yes")</f>
        <v>4</v>
      </c>
    </row>
    <row r="196" spans="2:7" ht="87" outlineLevel="1" x14ac:dyDescent="0.35">
      <c r="B196" s="46"/>
      <c r="C196" s="46"/>
      <c r="D196" s="21" t="s">
        <v>1933</v>
      </c>
      <c r="E196" s="21" t="s">
        <v>1859</v>
      </c>
      <c r="G196" s="26" t="s">
        <v>341</v>
      </c>
    </row>
    <row r="197" spans="2:7" ht="72.5" outlineLevel="1" x14ac:dyDescent="0.35">
      <c r="B197" s="46"/>
      <c r="C197" s="46"/>
      <c r="D197" s="21" t="s">
        <v>1934</v>
      </c>
      <c r="E197" s="21" t="s">
        <v>1838</v>
      </c>
      <c r="G197" s="26" t="s">
        <v>341</v>
      </c>
    </row>
    <row r="198" spans="2:7" ht="72.5" outlineLevel="1" x14ac:dyDescent="0.35">
      <c r="B198" s="46"/>
      <c r="C198" s="46"/>
      <c r="D198" s="21" t="s">
        <v>1935</v>
      </c>
      <c r="E198" s="21" t="s">
        <v>1839</v>
      </c>
      <c r="G198" s="26" t="s">
        <v>341</v>
      </c>
    </row>
    <row r="199" spans="2:7" ht="72.5" outlineLevel="1" x14ac:dyDescent="0.35">
      <c r="B199" s="46"/>
      <c r="C199" s="46"/>
      <c r="D199" s="21" t="s">
        <v>1936</v>
      </c>
      <c r="E199" s="21" t="s">
        <v>3890</v>
      </c>
      <c r="G199" s="26" t="s">
        <v>341</v>
      </c>
    </row>
    <row r="200" spans="2:7" x14ac:dyDescent="0.35">
      <c r="B200" s="46"/>
      <c r="C200" s="20" t="s">
        <v>2624</v>
      </c>
      <c r="D200" s="47"/>
      <c r="E200" s="46"/>
      <c r="G200" s="53">
        <f>COUNTIF(G201:G208,"Yes")</f>
        <v>8</v>
      </c>
    </row>
    <row r="201" spans="2:7" ht="58" outlineLevel="1" x14ac:dyDescent="0.35">
      <c r="B201" s="46"/>
      <c r="C201" s="46"/>
      <c r="D201" s="21" t="s">
        <v>2625</v>
      </c>
      <c r="E201" s="21" t="s">
        <v>2669</v>
      </c>
      <c r="G201" s="26" t="s">
        <v>341</v>
      </c>
    </row>
    <row r="202" spans="2:7" ht="72.5" outlineLevel="1" x14ac:dyDescent="0.35">
      <c r="B202" s="46"/>
      <c r="C202" s="46"/>
      <c r="D202" s="21" t="s">
        <v>4231</v>
      </c>
      <c r="E202" s="21" t="s">
        <v>4232</v>
      </c>
      <c r="G202" s="26" t="s">
        <v>341</v>
      </c>
    </row>
    <row r="203" spans="2:7" ht="43.5" outlineLevel="1" x14ac:dyDescent="0.35">
      <c r="B203" s="46"/>
      <c r="C203" s="46"/>
      <c r="D203" s="21" t="s">
        <v>3710</v>
      </c>
      <c r="E203" s="21" t="s">
        <v>3714</v>
      </c>
      <c r="G203" s="26" t="s">
        <v>341</v>
      </c>
    </row>
    <row r="204" spans="2:7" ht="101.5" outlineLevel="1" x14ac:dyDescent="0.35">
      <c r="B204" s="46"/>
      <c r="C204" s="46"/>
      <c r="D204" s="21" t="s">
        <v>3711</v>
      </c>
      <c r="E204" s="21" t="s">
        <v>3715</v>
      </c>
      <c r="G204" s="26" t="s">
        <v>341</v>
      </c>
    </row>
    <row r="205" spans="2:7" ht="130.5" outlineLevel="1" x14ac:dyDescent="0.35">
      <c r="B205" s="46"/>
      <c r="C205" s="46"/>
      <c r="D205" s="21" t="s">
        <v>3712</v>
      </c>
      <c r="E205" s="21" t="s">
        <v>3716</v>
      </c>
      <c r="G205" s="26" t="s">
        <v>341</v>
      </c>
    </row>
    <row r="206" spans="2:7" ht="58" outlineLevel="1" x14ac:dyDescent="0.35">
      <c r="B206" s="46"/>
      <c r="C206" s="46"/>
      <c r="D206" s="21" t="s">
        <v>4113</v>
      </c>
      <c r="E206" s="21" t="s">
        <v>4114</v>
      </c>
      <c r="G206" s="26" t="s">
        <v>341</v>
      </c>
    </row>
    <row r="207" spans="2:7" ht="101.5" outlineLevel="1" x14ac:dyDescent="0.35">
      <c r="B207" s="46"/>
      <c r="C207" s="46"/>
      <c r="D207" s="21" t="s">
        <v>3713</v>
      </c>
      <c r="E207" s="21" t="s">
        <v>4037</v>
      </c>
      <c r="G207" s="26" t="s">
        <v>341</v>
      </c>
    </row>
    <row r="208" spans="2:7" ht="72.5" outlineLevel="1" x14ac:dyDescent="0.35">
      <c r="B208" s="46"/>
      <c r="C208" s="46"/>
      <c r="D208" s="21" t="s">
        <v>3062</v>
      </c>
      <c r="E208" s="21" t="s">
        <v>3063</v>
      </c>
      <c r="G208" s="26" t="s">
        <v>341</v>
      </c>
    </row>
    <row r="209" spans="2:7" x14ac:dyDescent="0.35">
      <c r="B209" s="46"/>
      <c r="C209" s="20" t="s">
        <v>4345</v>
      </c>
      <c r="D209" s="47"/>
      <c r="E209" s="46"/>
      <c r="G209" s="53">
        <f>COUNTIF(G210:G222,"Yes")</f>
        <v>5</v>
      </c>
    </row>
    <row r="210" spans="2:7" outlineLevel="1" x14ac:dyDescent="0.35">
      <c r="B210" s="46"/>
      <c r="C210" s="46"/>
      <c r="D210" s="21" t="s">
        <v>4346</v>
      </c>
      <c r="E210" s="21" t="s">
        <v>4349</v>
      </c>
      <c r="G210" s="26" t="s">
        <v>341</v>
      </c>
    </row>
    <row r="211" spans="2:7" ht="58" outlineLevel="1" x14ac:dyDescent="0.35">
      <c r="B211" s="46"/>
      <c r="C211" s="46"/>
      <c r="D211" s="21" t="s">
        <v>4347</v>
      </c>
      <c r="E211" s="21" t="s">
        <v>4350</v>
      </c>
      <c r="G211" s="26" t="s">
        <v>341</v>
      </c>
    </row>
    <row r="212" spans="2:7" ht="43.5" outlineLevel="1" x14ac:dyDescent="0.35">
      <c r="B212" s="46"/>
      <c r="C212" s="46"/>
      <c r="D212" s="21" t="s">
        <v>4348</v>
      </c>
      <c r="E212" s="21" t="s">
        <v>4351</v>
      </c>
      <c r="G212" s="26" t="s">
        <v>341</v>
      </c>
    </row>
    <row r="213" spans="2:7" ht="43.5" outlineLevel="1" x14ac:dyDescent="0.35">
      <c r="B213" s="46"/>
      <c r="C213" s="46"/>
      <c r="D213" s="21" t="s">
        <v>4916</v>
      </c>
      <c r="E213" s="21" t="s">
        <v>4917</v>
      </c>
      <c r="G213" s="26" t="s">
        <v>341</v>
      </c>
    </row>
    <row r="214" spans="2:7" ht="43.5" outlineLevel="1" x14ac:dyDescent="0.35">
      <c r="B214" s="46"/>
      <c r="C214" s="46"/>
      <c r="D214" s="21" t="s">
        <v>4908</v>
      </c>
      <c r="E214" s="21" t="s">
        <v>4909</v>
      </c>
      <c r="G214" s="26" t="s">
        <v>341</v>
      </c>
    </row>
  </sheetData>
  <sortState xmlns:xlrd2="http://schemas.microsoft.com/office/spreadsheetml/2017/richdata2" ref="A175:G184">
    <sortCondition ref="D175"/>
  </sortState>
  <mergeCells count="3">
    <mergeCell ref="B6:E6"/>
    <mergeCell ref="G3:G4"/>
    <mergeCell ref="B2:B4"/>
  </mergeCells>
  <dataValidations count="1">
    <dataValidation type="list" allowBlank="1" showInputMessage="1" showErrorMessage="1" sqref="G196:G199 G148:G151 G145:G146 G188:G190 G74:G79 G71:G72 G64:G65 G81 G84:G85 G87:G88 G68:G69 G91:G93 G95:G100 G106:G107 G102:G104 G11:G19 G121:G124 G126:G129 G109:G112 G59:G61 G169:G174 G184:G186 G137:G139 G56:G57 G114:G118 G131:G135 G153:G167 G141:G143 G192:G194 G201:G208 G177:G182 G21:G54 G210:G214" xr:uid="{00000000-0002-0000-0300-000000000000}">
      <formula1>"Yes, No"</formula1>
    </dataValidation>
  </dataValidation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293276"/>
  </sheetPr>
  <dimension ref="B1:H299"/>
  <sheetViews>
    <sheetView showGridLines="0" zoomScale="80" zoomScaleNormal="80" workbookViewId="0">
      <selection activeCell="C2" sqref="C2"/>
    </sheetView>
  </sheetViews>
  <sheetFormatPr defaultColWidth="9.1796875" defaultRowHeight="14.5" outlineLevelRow="1" x14ac:dyDescent="0.35"/>
  <cols>
    <col min="1" max="1" width="2.1796875" style="79" customWidth="1"/>
    <col min="2" max="2" width="30.6328125" style="96" customWidth="1"/>
    <col min="3" max="3" width="30.6328125" style="97" customWidth="1"/>
    <col min="4" max="4" width="50.6328125" style="97" customWidth="1"/>
    <col min="5" max="5" width="76.6328125" style="97" customWidth="1"/>
    <col min="6" max="6" width="2.1796875" style="79" customWidth="1"/>
    <col min="7" max="7" width="9.1796875" style="98"/>
    <col min="8" max="8" width="37" style="79" customWidth="1"/>
    <col min="9" max="16384" width="9.1796875" style="79"/>
  </cols>
  <sheetData>
    <row r="1" spans="2:8" s="58" customFormat="1" ht="14.5" customHeight="1" x14ac:dyDescent="0.5">
      <c r="B1" s="61"/>
      <c r="C1" s="69"/>
      <c r="D1" s="70"/>
      <c r="E1" s="71"/>
      <c r="G1" s="9"/>
    </row>
    <row r="2" spans="2:8" s="58" customFormat="1" ht="14.5" customHeight="1" x14ac:dyDescent="0.35">
      <c r="B2" s="193"/>
      <c r="C2" s="151"/>
      <c r="D2" s="148" t="s">
        <v>41</v>
      </c>
      <c r="E2" s="11" t="s">
        <v>487</v>
      </c>
      <c r="G2" s="13" t="s">
        <v>342</v>
      </c>
    </row>
    <row r="3" spans="2:8" s="58" customFormat="1" ht="14.5" customHeight="1" x14ac:dyDescent="0.35">
      <c r="B3" s="193"/>
      <c r="C3" s="151"/>
      <c r="D3" s="148" t="s">
        <v>226</v>
      </c>
      <c r="E3" s="11">
        <f>COUNTIF(E8:E299,"*")</f>
        <v>238</v>
      </c>
      <c r="G3" s="185">
        <f>COUNTIF(G8:G299,"Yes")</f>
        <v>238</v>
      </c>
    </row>
    <row r="4" spans="2:8" s="58" customFormat="1" ht="14.5" customHeight="1" x14ac:dyDescent="0.35">
      <c r="B4" s="193"/>
      <c r="C4" s="151"/>
      <c r="D4" s="148" t="s">
        <v>79</v>
      </c>
      <c r="E4" s="15" t="str">
        <f>'(1) Retail Banking Processes'!E4</f>
        <v>R25 Model Bank</v>
      </c>
      <c r="G4" s="186"/>
    </row>
    <row r="5" spans="2:8" s="58" customFormat="1" ht="18.5" x14ac:dyDescent="0.35">
      <c r="B5" s="149"/>
      <c r="C5" s="149"/>
      <c r="D5" s="72"/>
      <c r="E5" s="73"/>
      <c r="G5" s="9"/>
    </row>
    <row r="6" spans="2:8" s="58" customFormat="1" x14ac:dyDescent="0.35">
      <c r="B6" s="191"/>
      <c r="C6" s="192"/>
      <c r="D6" s="192"/>
      <c r="E6" s="192"/>
      <c r="G6" s="18" t="s">
        <v>340</v>
      </c>
      <c r="H6" s="74"/>
    </row>
    <row r="7" spans="2:8" s="58" customFormat="1" x14ac:dyDescent="0.35">
      <c r="B7" s="75" t="s">
        <v>83</v>
      </c>
      <c r="C7" s="75" t="s">
        <v>86</v>
      </c>
      <c r="D7" s="75" t="s">
        <v>87</v>
      </c>
      <c r="E7" s="75" t="s">
        <v>54</v>
      </c>
      <c r="G7" s="76" t="s">
        <v>342</v>
      </c>
    </row>
    <row r="8" spans="2:8" x14ac:dyDescent="0.35">
      <c r="B8" s="77" t="s">
        <v>486</v>
      </c>
      <c r="C8" s="77"/>
      <c r="D8" s="2"/>
      <c r="E8" s="2"/>
      <c r="F8" s="62"/>
      <c r="G8" s="78"/>
    </row>
    <row r="9" spans="2:8" x14ac:dyDescent="0.35">
      <c r="B9" s="77"/>
      <c r="C9" s="77" t="s">
        <v>3468</v>
      </c>
      <c r="D9" s="2"/>
      <c r="E9" s="2"/>
      <c r="F9" s="62"/>
      <c r="G9" s="80">
        <f>COUNTIF(G11:G74,"Yes")</f>
        <v>56</v>
      </c>
      <c r="H9" s="74"/>
    </row>
    <row r="10" spans="2:8" x14ac:dyDescent="0.35">
      <c r="B10" s="77"/>
      <c r="C10" s="77"/>
      <c r="D10" s="81" t="s">
        <v>886</v>
      </c>
      <c r="E10" s="2"/>
      <c r="F10" s="62"/>
      <c r="G10" s="78"/>
    </row>
    <row r="11" spans="2:8" ht="43.5" outlineLevel="1" x14ac:dyDescent="0.35">
      <c r="B11" s="77"/>
      <c r="C11" s="2"/>
      <c r="D11" s="2" t="s">
        <v>110</v>
      </c>
      <c r="E11" s="2" t="s">
        <v>2991</v>
      </c>
      <c r="F11" s="62"/>
      <c r="G11" s="82" t="s">
        <v>341</v>
      </c>
    </row>
    <row r="12" spans="2:8" ht="43.5" outlineLevel="1" x14ac:dyDescent="0.35">
      <c r="B12" s="77"/>
      <c r="C12" s="2"/>
      <c r="D12" s="2" t="s">
        <v>3182</v>
      </c>
      <c r="E12" s="2" t="s">
        <v>3202</v>
      </c>
      <c r="F12" s="62"/>
      <c r="G12" s="82" t="s">
        <v>341</v>
      </c>
    </row>
    <row r="13" spans="2:8" ht="29" outlineLevel="1" x14ac:dyDescent="0.35">
      <c r="B13" s="77"/>
      <c r="C13" s="2"/>
      <c r="D13" s="2" t="s">
        <v>843</v>
      </c>
      <c r="E13" s="2" t="s">
        <v>615</v>
      </c>
      <c r="F13" s="62"/>
      <c r="G13" s="82" t="s">
        <v>341</v>
      </c>
    </row>
    <row r="14" spans="2:8" ht="29" outlineLevel="1" x14ac:dyDescent="0.35">
      <c r="B14" s="77"/>
      <c r="C14" s="2"/>
      <c r="D14" s="2" t="s">
        <v>844</v>
      </c>
      <c r="E14" s="2" t="s">
        <v>235</v>
      </c>
      <c r="F14" s="62"/>
      <c r="G14" s="82" t="s">
        <v>341</v>
      </c>
    </row>
    <row r="15" spans="2:8" ht="29" outlineLevel="1" x14ac:dyDescent="0.35">
      <c r="B15" s="55"/>
      <c r="C15" s="55"/>
      <c r="D15" s="2" t="s">
        <v>971</v>
      </c>
      <c r="E15" s="2" t="s">
        <v>535</v>
      </c>
      <c r="F15" s="48"/>
      <c r="G15" s="83" t="s">
        <v>341</v>
      </c>
      <c r="H15" s="50"/>
    </row>
    <row r="16" spans="2:8" ht="43.5" outlineLevel="1" x14ac:dyDescent="0.35">
      <c r="B16" s="84"/>
      <c r="C16" s="85"/>
      <c r="D16" s="2" t="s">
        <v>1333</v>
      </c>
      <c r="E16" s="2" t="s">
        <v>582</v>
      </c>
      <c r="F16" s="62"/>
      <c r="G16" s="26" t="s">
        <v>341</v>
      </c>
    </row>
    <row r="17" spans="2:8" ht="58" outlineLevel="1" x14ac:dyDescent="0.35">
      <c r="B17" s="77"/>
      <c r="C17" s="1"/>
      <c r="D17" s="2" t="s">
        <v>790</v>
      </c>
      <c r="E17" s="2" t="s">
        <v>2623</v>
      </c>
      <c r="F17" s="62"/>
      <c r="G17" s="82" t="s">
        <v>341</v>
      </c>
    </row>
    <row r="18" spans="2:8" s="50" customFormat="1" ht="29" outlineLevel="1" x14ac:dyDescent="0.35">
      <c r="B18" s="86"/>
      <c r="C18" s="87"/>
      <c r="D18" s="2" t="s">
        <v>497</v>
      </c>
      <c r="E18" s="2" t="s">
        <v>498</v>
      </c>
      <c r="F18" s="62"/>
      <c r="G18" s="82" t="s">
        <v>341</v>
      </c>
      <c r="H18" s="79"/>
    </row>
    <row r="19" spans="2:8" ht="43.5" outlineLevel="1" x14ac:dyDescent="0.35">
      <c r="B19" s="77"/>
      <c r="C19" s="2"/>
      <c r="D19" s="2" t="s">
        <v>845</v>
      </c>
      <c r="E19" s="2" t="s">
        <v>616</v>
      </c>
      <c r="F19" s="62"/>
      <c r="G19" s="82" t="s">
        <v>341</v>
      </c>
    </row>
    <row r="20" spans="2:8" x14ac:dyDescent="0.35">
      <c r="B20" s="77"/>
      <c r="C20" s="2"/>
      <c r="D20" s="81" t="s">
        <v>111</v>
      </c>
      <c r="E20" s="1"/>
      <c r="F20" s="62"/>
      <c r="G20" s="88"/>
    </row>
    <row r="21" spans="2:8" ht="29" outlineLevel="1" x14ac:dyDescent="0.35">
      <c r="B21" s="77"/>
      <c r="C21" s="2"/>
      <c r="D21" s="2" t="s">
        <v>499</v>
      </c>
      <c r="E21" s="2" t="s">
        <v>3011</v>
      </c>
      <c r="F21" s="62"/>
      <c r="G21" s="82" t="s">
        <v>341</v>
      </c>
    </row>
    <row r="22" spans="2:8" ht="29" outlineLevel="1" x14ac:dyDescent="0.35">
      <c r="B22" s="77"/>
      <c r="C22" s="2"/>
      <c r="D22" s="2" t="s">
        <v>846</v>
      </c>
      <c r="E22" s="2" t="s">
        <v>3012</v>
      </c>
      <c r="F22" s="62"/>
      <c r="G22" s="82" t="s">
        <v>341</v>
      </c>
    </row>
    <row r="23" spans="2:8" x14ac:dyDescent="0.35">
      <c r="B23" s="77"/>
      <c r="C23" s="2"/>
      <c r="D23" s="81" t="s">
        <v>500</v>
      </c>
      <c r="E23" s="1"/>
      <c r="F23" s="62"/>
      <c r="G23" s="89"/>
    </row>
    <row r="24" spans="2:8" outlineLevel="1" x14ac:dyDescent="0.35">
      <c r="B24" s="77"/>
      <c r="C24" s="2"/>
      <c r="D24" s="2" t="s">
        <v>1449</v>
      </c>
      <c r="E24" s="2" t="s">
        <v>516</v>
      </c>
      <c r="F24" s="90"/>
      <c r="G24" s="82" t="s">
        <v>341</v>
      </c>
    </row>
    <row r="25" spans="2:8" ht="72.5" outlineLevel="1" x14ac:dyDescent="0.35">
      <c r="B25" s="77"/>
      <c r="C25" s="2"/>
      <c r="D25" s="2" t="s">
        <v>1423</v>
      </c>
      <c r="E25" s="2" t="s">
        <v>1425</v>
      </c>
      <c r="F25" s="62"/>
      <c r="G25" s="82" t="s">
        <v>341</v>
      </c>
    </row>
    <row r="26" spans="2:8" ht="58" outlineLevel="1" x14ac:dyDescent="0.35">
      <c r="B26" s="77"/>
      <c r="C26" s="2"/>
      <c r="D26" s="2" t="s">
        <v>4910</v>
      </c>
      <c r="E26" s="2" t="s">
        <v>4911</v>
      </c>
      <c r="F26" s="62"/>
      <c r="G26" s="82" t="s">
        <v>341</v>
      </c>
    </row>
    <row r="27" spans="2:8" ht="43.5" outlineLevel="1" x14ac:dyDescent="0.35">
      <c r="B27" s="77"/>
      <c r="C27" s="2"/>
      <c r="D27" s="2" t="s">
        <v>3449</v>
      </c>
      <c r="E27" s="2" t="s">
        <v>617</v>
      </c>
      <c r="F27" s="62"/>
      <c r="G27" s="82" t="s">
        <v>341</v>
      </c>
    </row>
    <row r="28" spans="2:8" ht="43.5" outlineLevel="1" x14ac:dyDescent="0.35">
      <c r="B28" s="77"/>
      <c r="C28" s="2"/>
      <c r="D28" s="2" t="s">
        <v>618</v>
      </c>
      <c r="E28" s="2" t="s">
        <v>619</v>
      </c>
      <c r="F28" s="62"/>
      <c r="G28" s="82" t="s">
        <v>341</v>
      </c>
    </row>
    <row r="29" spans="2:8" ht="116" outlineLevel="1" x14ac:dyDescent="0.35">
      <c r="B29" s="77"/>
      <c r="C29" s="2"/>
      <c r="D29" s="2" t="s">
        <v>620</v>
      </c>
      <c r="E29" s="2" t="s">
        <v>1453</v>
      </c>
      <c r="F29" s="62"/>
      <c r="G29" s="82" t="s">
        <v>341</v>
      </c>
    </row>
    <row r="30" spans="2:8" ht="116" outlineLevel="1" x14ac:dyDescent="0.35">
      <c r="B30" s="77"/>
      <c r="C30" s="2"/>
      <c r="D30" s="2" t="s">
        <v>1389</v>
      </c>
      <c r="E30" s="2" t="s">
        <v>1388</v>
      </c>
      <c r="F30" s="62"/>
      <c r="G30" s="82" t="s">
        <v>341</v>
      </c>
    </row>
    <row r="31" spans="2:8" ht="116" outlineLevel="1" x14ac:dyDescent="0.35">
      <c r="B31" s="77"/>
      <c r="C31" s="2"/>
      <c r="D31" s="2" t="s">
        <v>1390</v>
      </c>
      <c r="E31" s="2" t="s">
        <v>1426</v>
      </c>
      <c r="F31" s="62"/>
      <c r="G31" s="82" t="s">
        <v>341</v>
      </c>
    </row>
    <row r="32" spans="2:8" ht="130.5" outlineLevel="1" x14ac:dyDescent="0.35">
      <c r="B32" s="77"/>
      <c r="C32" s="2"/>
      <c r="D32" s="2" t="s">
        <v>1391</v>
      </c>
      <c r="E32" s="2" t="s">
        <v>1454</v>
      </c>
      <c r="F32" s="62"/>
      <c r="G32" s="82" t="s">
        <v>341</v>
      </c>
    </row>
    <row r="33" spans="2:7" outlineLevel="1" x14ac:dyDescent="0.35">
      <c r="B33" s="77"/>
      <c r="C33" s="2"/>
      <c r="D33" s="2" t="s">
        <v>621</v>
      </c>
      <c r="E33" s="2" t="s">
        <v>1269</v>
      </c>
      <c r="F33" s="62"/>
      <c r="G33" s="82" t="s">
        <v>341</v>
      </c>
    </row>
    <row r="34" spans="2:7" ht="29" outlineLevel="1" x14ac:dyDescent="0.35">
      <c r="B34" s="77"/>
      <c r="C34" s="2"/>
      <c r="D34" s="2" t="s">
        <v>622</v>
      </c>
      <c r="E34" s="2" t="s">
        <v>112</v>
      </c>
      <c r="F34" s="62"/>
      <c r="G34" s="82" t="s">
        <v>341</v>
      </c>
    </row>
    <row r="35" spans="2:7" ht="130.5" outlineLevel="1" x14ac:dyDescent="0.35">
      <c r="B35" s="77"/>
      <c r="C35" s="2"/>
      <c r="D35" s="2" t="s">
        <v>3424</v>
      </c>
      <c r="E35" s="2" t="s">
        <v>3704</v>
      </c>
      <c r="F35" s="62"/>
      <c r="G35" s="82" t="s">
        <v>341</v>
      </c>
    </row>
    <row r="36" spans="2:7" ht="29" outlineLevel="1" x14ac:dyDescent="0.35">
      <c r="B36" s="77"/>
      <c r="C36" s="2"/>
      <c r="D36" s="2" t="s">
        <v>4120</v>
      </c>
      <c r="E36" s="2" t="s">
        <v>4217</v>
      </c>
      <c r="F36" s="62"/>
      <c r="G36" s="82" t="s">
        <v>341</v>
      </c>
    </row>
    <row r="37" spans="2:7" x14ac:dyDescent="0.35">
      <c r="B37" s="77"/>
      <c r="C37" s="2"/>
      <c r="D37" s="81" t="s">
        <v>1286</v>
      </c>
      <c r="E37" s="1"/>
      <c r="F37" s="62"/>
      <c r="G37" s="89"/>
    </row>
    <row r="38" spans="2:7" outlineLevel="1" x14ac:dyDescent="0.35">
      <c r="B38" s="77"/>
      <c r="C38" s="77"/>
      <c r="D38" s="81" t="s">
        <v>1330</v>
      </c>
      <c r="E38" s="1"/>
      <c r="F38" s="62"/>
      <c r="G38" s="89"/>
    </row>
    <row r="39" spans="2:7" ht="72.5" outlineLevel="1" x14ac:dyDescent="0.35">
      <c r="B39" s="91"/>
      <c r="C39" s="92"/>
      <c r="D39" s="2" t="s">
        <v>3425</v>
      </c>
      <c r="E39" s="2" t="s">
        <v>1451</v>
      </c>
      <c r="F39" s="90"/>
      <c r="G39" s="82" t="s">
        <v>341</v>
      </c>
    </row>
    <row r="40" spans="2:7" ht="87" outlineLevel="1" x14ac:dyDescent="0.35">
      <c r="B40" s="91"/>
      <c r="C40" s="92"/>
      <c r="D40" s="2" t="s">
        <v>1287</v>
      </c>
      <c r="E40" s="2" t="s">
        <v>3001</v>
      </c>
      <c r="F40" s="90"/>
      <c r="G40" s="82" t="s">
        <v>341</v>
      </c>
    </row>
    <row r="41" spans="2:7" ht="72.5" outlineLevel="1" x14ac:dyDescent="0.35">
      <c r="B41" s="91"/>
      <c r="C41" s="92"/>
      <c r="D41" s="2" t="s">
        <v>1288</v>
      </c>
      <c r="E41" s="2" t="s">
        <v>1289</v>
      </c>
      <c r="F41" s="90"/>
      <c r="G41" s="82" t="s">
        <v>341</v>
      </c>
    </row>
    <row r="42" spans="2:7" ht="61" customHeight="1" outlineLevel="1" x14ac:dyDescent="0.35">
      <c r="B42" s="91"/>
      <c r="C42" s="92"/>
      <c r="D42" s="2" t="s">
        <v>1290</v>
      </c>
      <c r="E42" s="2" t="s">
        <v>1291</v>
      </c>
      <c r="F42" s="90"/>
      <c r="G42" s="82" t="s">
        <v>341</v>
      </c>
    </row>
    <row r="43" spans="2:7" outlineLevel="1" x14ac:dyDescent="0.35">
      <c r="B43" s="91"/>
      <c r="C43" s="92"/>
      <c r="D43" s="81" t="s">
        <v>1529</v>
      </c>
      <c r="E43" s="1"/>
      <c r="F43" s="90"/>
      <c r="G43" s="89"/>
    </row>
    <row r="44" spans="2:7" ht="43.5" outlineLevel="1" x14ac:dyDescent="0.35">
      <c r="B44" s="91"/>
      <c r="C44" s="92"/>
      <c r="D44" s="2" t="s">
        <v>3691</v>
      </c>
      <c r="E44" s="2" t="s">
        <v>1544</v>
      </c>
      <c r="F44" s="90"/>
      <c r="G44" s="82" t="s">
        <v>341</v>
      </c>
    </row>
    <row r="45" spans="2:7" ht="58" outlineLevel="1" x14ac:dyDescent="0.35">
      <c r="B45" s="91"/>
      <c r="C45" s="92"/>
      <c r="D45" s="2" t="s">
        <v>1531</v>
      </c>
      <c r="E45" s="2" t="s">
        <v>1593</v>
      </c>
      <c r="F45" s="90"/>
      <c r="G45" s="82" t="s">
        <v>341</v>
      </c>
    </row>
    <row r="46" spans="2:7" ht="58" outlineLevel="1" x14ac:dyDescent="0.35">
      <c r="B46" s="91"/>
      <c r="C46" s="92"/>
      <c r="D46" s="2" t="s">
        <v>1530</v>
      </c>
      <c r="E46" s="2" t="s">
        <v>1543</v>
      </c>
      <c r="F46" s="90"/>
      <c r="G46" s="82" t="s">
        <v>341</v>
      </c>
    </row>
    <row r="47" spans="2:7" outlineLevel="1" x14ac:dyDescent="0.35">
      <c r="B47" s="91"/>
      <c r="C47" s="92"/>
      <c r="D47" s="81" t="s">
        <v>1532</v>
      </c>
      <c r="E47" s="1"/>
      <c r="F47" s="90"/>
      <c r="G47" s="89"/>
    </row>
    <row r="48" spans="2:7" ht="43.5" outlineLevel="1" x14ac:dyDescent="0.35">
      <c r="B48" s="91"/>
      <c r="C48" s="92"/>
      <c r="D48" s="2" t="s">
        <v>1535</v>
      </c>
      <c r="E48" s="2" t="s">
        <v>1551</v>
      </c>
      <c r="F48" s="90"/>
      <c r="G48" s="82" t="s">
        <v>341</v>
      </c>
    </row>
    <row r="49" spans="2:7" ht="58" outlineLevel="1" x14ac:dyDescent="0.35">
      <c r="B49" s="91"/>
      <c r="C49" s="92"/>
      <c r="D49" s="2" t="s">
        <v>1534</v>
      </c>
      <c r="E49" s="2" t="s">
        <v>1564</v>
      </c>
      <c r="F49" s="90"/>
      <c r="G49" s="82" t="s">
        <v>341</v>
      </c>
    </row>
    <row r="50" spans="2:7" ht="87" outlineLevel="1" x14ac:dyDescent="0.35">
      <c r="B50" s="91"/>
      <c r="C50" s="92"/>
      <c r="D50" s="2" t="s">
        <v>1536</v>
      </c>
      <c r="E50" s="2" t="s">
        <v>2455</v>
      </c>
      <c r="F50" s="90"/>
      <c r="G50" s="82" t="s">
        <v>341</v>
      </c>
    </row>
    <row r="51" spans="2:7" ht="48" customHeight="1" outlineLevel="1" x14ac:dyDescent="0.35">
      <c r="B51" s="91"/>
      <c r="C51" s="92"/>
      <c r="D51" s="2" t="s">
        <v>1533</v>
      </c>
      <c r="E51" s="2" t="s">
        <v>1787</v>
      </c>
      <c r="F51" s="90"/>
      <c r="G51" s="82" t="s">
        <v>341</v>
      </c>
    </row>
    <row r="52" spans="2:7" outlineLevel="1" x14ac:dyDescent="0.35">
      <c r="B52" s="77"/>
      <c r="C52" s="2"/>
      <c r="D52" s="81" t="s">
        <v>1528</v>
      </c>
      <c r="E52" s="2"/>
      <c r="F52" s="90"/>
      <c r="G52" s="89"/>
    </row>
    <row r="53" spans="2:7" ht="101.5" outlineLevel="1" x14ac:dyDescent="0.35">
      <c r="B53" s="91"/>
      <c r="C53" s="92"/>
      <c r="D53" s="2" t="s">
        <v>1537</v>
      </c>
      <c r="E53" s="2" t="s">
        <v>1540</v>
      </c>
      <c r="F53" s="90"/>
      <c r="G53" s="82" t="s">
        <v>341</v>
      </c>
    </row>
    <row r="54" spans="2:7" ht="87" outlineLevel="1" x14ac:dyDescent="0.35">
      <c r="B54" s="91"/>
      <c r="C54" s="92"/>
      <c r="D54" s="2" t="s">
        <v>1538</v>
      </c>
      <c r="E54" s="2" t="s">
        <v>1541</v>
      </c>
      <c r="F54" s="90"/>
      <c r="G54" s="82" t="s">
        <v>341</v>
      </c>
    </row>
    <row r="55" spans="2:7" ht="87" outlineLevel="1" x14ac:dyDescent="0.35">
      <c r="B55" s="91"/>
      <c r="C55" s="92"/>
      <c r="D55" s="2" t="s">
        <v>1539</v>
      </c>
      <c r="E55" s="2" t="s">
        <v>1542</v>
      </c>
      <c r="F55" s="90"/>
      <c r="G55" s="82" t="s">
        <v>341</v>
      </c>
    </row>
    <row r="56" spans="2:7" ht="72.5" outlineLevel="1" x14ac:dyDescent="0.35">
      <c r="B56" s="91"/>
      <c r="C56" s="92"/>
      <c r="D56" s="2" t="s">
        <v>1545</v>
      </c>
      <c r="E56" s="2" t="s">
        <v>1552</v>
      </c>
      <c r="F56" s="90"/>
      <c r="G56" s="82" t="s">
        <v>341</v>
      </c>
    </row>
    <row r="57" spans="2:7" ht="29" outlineLevel="1" x14ac:dyDescent="0.35">
      <c r="B57" s="91"/>
      <c r="C57" s="92"/>
      <c r="D57" s="2" t="s">
        <v>1331</v>
      </c>
      <c r="E57" s="2" t="s">
        <v>1455</v>
      </c>
      <c r="F57" s="90"/>
      <c r="G57" s="82" t="s">
        <v>341</v>
      </c>
    </row>
    <row r="58" spans="2:7" ht="43.5" outlineLevel="1" x14ac:dyDescent="0.35">
      <c r="B58" s="91"/>
      <c r="C58" s="92"/>
      <c r="D58" s="2" t="s">
        <v>1432</v>
      </c>
      <c r="E58" s="2" t="s">
        <v>1433</v>
      </c>
      <c r="F58" s="90"/>
      <c r="G58" s="82" t="s">
        <v>341</v>
      </c>
    </row>
    <row r="59" spans="2:7" ht="159.5" outlineLevel="1" x14ac:dyDescent="0.35">
      <c r="B59" s="91"/>
      <c r="C59" s="92"/>
      <c r="D59" s="2" t="s">
        <v>1332</v>
      </c>
      <c r="E59" s="2" t="s">
        <v>1457</v>
      </c>
      <c r="F59" s="90"/>
      <c r="G59" s="82" t="s">
        <v>341</v>
      </c>
    </row>
    <row r="60" spans="2:7" x14ac:dyDescent="0.35">
      <c r="B60" s="77"/>
      <c r="C60" s="2"/>
      <c r="D60" s="81" t="s">
        <v>3458</v>
      </c>
      <c r="E60" s="1"/>
      <c r="F60" s="62"/>
      <c r="G60" s="89"/>
    </row>
    <row r="61" spans="2:7" ht="29" outlineLevel="1" x14ac:dyDescent="0.35">
      <c r="B61" s="91"/>
      <c r="C61" s="92"/>
      <c r="D61" s="2" t="s">
        <v>520</v>
      </c>
      <c r="E61" s="2" t="s">
        <v>227</v>
      </c>
      <c r="F61" s="90"/>
      <c r="G61" s="82" t="s">
        <v>341</v>
      </c>
    </row>
    <row r="62" spans="2:7" ht="29" outlineLevel="1" x14ac:dyDescent="0.35">
      <c r="B62" s="91"/>
      <c r="C62" s="92"/>
      <c r="D62" s="2" t="s">
        <v>494</v>
      </c>
      <c r="E62" s="2" t="s">
        <v>228</v>
      </c>
      <c r="F62" s="90"/>
      <c r="G62" s="82" t="s">
        <v>341</v>
      </c>
    </row>
    <row r="63" spans="2:7" ht="87" outlineLevel="1" x14ac:dyDescent="0.35">
      <c r="B63" s="91"/>
      <c r="C63" s="93"/>
      <c r="D63" s="2" t="s">
        <v>3426</v>
      </c>
      <c r="E63" s="2" t="s">
        <v>3893</v>
      </c>
      <c r="F63" s="90"/>
      <c r="G63" s="82" t="s">
        <v>341</v>
      </c>
    </row>
    <row r="64" spans="2:7" ht="29" outlineLevel="1" x14ac:dyDescent="0.35">
      <c r="B64" s="91"/>
      <c r="C64" s="93"/>
      <c r="D64" s="2" t="s">
        <v>501</v>
      </c>
      <c r="E64" s="2" t="s">
        <v>502</v>
      </c>
      <c r="F64" s="90"/>
      <c r="G64" s="82" t="s">
        <v>341</v>
      </c>
    </row>
    <row r="65" spans="2:7" ht="43.5" outlineLevel="1" x14ac:dyDescent="0.35">
      <c r="B65" s="91"/>
      <c r="C65" s="92"/>
      <c r="D65" s="2" t="s">
        <v>791</v>
      </c>
      <c r="E65" s="2" t="s">
        <v>711</v>
      </c>
      <c r="F65" s="90"/>
      <c r="G65" s="82" t="s">
        <v>341</v>
      </c>
    </row>
    <row r="66" spans="2:7" ht="58" outlineLevel="1" x14ac:dyDescent="0.35">
      <c r="B66" s="91"/>
      <c r="C66" s="92"/>
      <c r="D66" s="2" t="s">
        <v>523</v>
      </c>
      <c r="E66" s="2" t="s">
        <v>3060</v>
      </c>
      <c r="F66" s="90"/>
      <c r="G66" s="82" t="s">
        <v>341</v>
      </c>
    </row>
    <row r="67" spans="2:7" ht="29" outlineLevel="1" x14ac:dyDescent="0.35">
      <c r="B67" s="91"/>
      <c r="C67" s="93"/>
      <c r="D67" s="2" t="s">
        <v>514</v>
      </c>
      <c r="E67" s="2" t="s">
        <v>1203</v>
      </c>
      <c r="F67" s="90"/>
      <c r="G67" s="82" t="s">
        <v>341</v>
      </c>
    </row>
    <row r="68" spans="2:7" ht="29" outlineLevel="1" x14ac:dyDescent="0.35">
      <c r="B68" s="91"/>
      <c r="C68" s="92"/>
      <c r="D68" s="2" t="s">
        <v>517</v>
      </c>
      <c r="E68" s="2" t="s">
        <v>715</v>
      </c>
      <c r="F68" s="90"/>
      <c r="G68" s="82" t="s">
        <v>341</v>
      </c>
    </row>
    <row r="69" spans="2:7" ht="29" outlineLevel="1" x14ac:dyDescent="0.35">
      <c r="B69" s="91"/>
      <c r="C69" s="93"/>
      <c r="D69" s="2" t="s">
        <v>48</v>
      </c>
      <c r="E69" s="2" t="s">
        <v>396</v>
      </c>
      <c r="F69" s="90"/>
      <c r="G69" s="82" t="s">
        <v>341</v>
      </c>
    </row>
    <row r="70" spans="2:7" outlineLevel="1" x14ac:dyDescent="0.35">
      <c r="B70" s="91"/>
      <c r="C70" s="93"/>
      <c r="D70" s="2" t="s">
        <v>1649</v>
      </c>
      <c r="E70" s="2" t="s">
        <v>792</v>
      </c>
      <c r="F70" s="90"/>
      <c r="G70" s="82" t="s">
        <v>341</v>
      </c>
    </row>
    <row r="71" spans="2:7" ht="29" outlineLevel="1" x14ac:dyDescent="0.35">
      <c r="B71" s="91"/>
      <c r="C71" s="92"/>
      <c r="D71" s="2" t="s">
        <v>519</v>
      </c>
      <c r="E71" s="2" t="s">
        <v>568</v>
      </c>
      <c r="F71" s="90"/>
      <c r="G71" s="82" t="s">
        <v>341</v>
      </c>
    </row>
    <row r="72" spans="2:7" outlineLevel="1" x14ac:dyDescent="0.35">
      <c r="B72" s="91"/>
      <c r="C72" s="93"/>
      <c r="D72" s="2" t="s">
        <v>518</v>
      </c>
      <c r="E72" s="2" t="s">
        <v>90</v>
      </c>
      <c r="F72" s="90"/>
      <c r="G72" s="82" t="s">
        <v>341</v>
      </c>
    </row>
    <row r="73" spans="2:7" ht="43.5" outlineLevel="1" x14ac:dyDescent="0.35">
      <c r="B73" s="91"/>
      <c r="C73" s="92"/>
      <c r="D73" s="2" t="s">
        <v>3427</v>
      </c>
      <c r="E73" s="2" t="s">
        <v>397</v>
      </c>
      <c r="F73" s="90"/>
      <c r="G73" s="82" t="s">
        <v>341</v>
      </c>
    </row>
    <row r="74" spans="2:7" ht="29" outlineLevel="1" x14ac:dyDescent="0.35">
      <c r="B74" s="91"/>
      <c r="C74" s="93"/>
      <c r="D74" s="2" t="s">
        <v>1519</v>
      </c>
      <c r="E74" s="2" t="s">
        <v>793</v>
      </c>
      <c r="F74" s="90"/>
      <c r="G74" s="82" t="s">
        <v>341</v>
      </c>
    </row>
    <row r="75" spans="2:7" x14ac:dyDescent="0.35">
      <c r="B75" s="77"/>
      <c r="C75" s="77" t="s">
        <v>3469</v>
      </c>
      <c r="D75" s="2"/>
      <c r="E75" s="1"/>
      <c r="F75" s="62"/>
      <c r="G75" s="80">
        <f>COUNTIF(G77:G186,"Yes")</f>
        <v>93</v>
      </c>
    </row>
    <row r="76" spans="2:7" x14ac:dyDescent="0.35">
      <c r="B76" s="77"/>
      <c r="C76" s="77"/>
      <c r="D76" s="81" t="s">
        <v>113</v>
      </c>
      <c r="E76" s="1"/>
      <c r="F76" s="62"/>
      <c r="G76" s="88"/>
    </row>
    <row r="77" spans="2:7" outlineLevel="1" x14ac:dyDescent="0.35">
      <c r="B77" s="77"/>
      <c r="C77" s="77"/>
      <c r="D77" s="2" t="s">
        <v>1448</v>
      </c>
      <c r="E77" s="2" t="s">
        <v>668</v>
      </c>
      <c r="F77" s="62"/>
      <c r="G77" s="82" t="s">
        <v>341</v>
      </c>
    </row>
    <row r="78" spans="2:7" ht="29" outlineLevel="1" x14ac:dyDescent="0.35">
      <c r="B78" s="77"/>
      <c r="C78" s="2"/>
      <c r="D78" s="2" t="s">
        <v>2913</v>
      </c>
      <c r="E78" s="2" t="s">
        <v>2934</v>
      </c>
      <c r="F78" s="62"/>
      <c r="G78" s="82" t="s">
        <v>341</v>
      </c>
    </row>
    <row r="79" spans="2:7" outlineLevel="1" x14ac:dyDescent="0.35">
      <c r="B79" s="77"/>
      <c r="C79" s="2"/>
      <c r="D79" s="2" t="s">
        <v>2914</v>
      </c>
      <c r="E79" s="2" t="s">
        <v>794</v>
      </c>
      <c r="F79" s="62"/>
      <c r="G79" s="82" t="s">
        <v>341</v>
      </c>
    </row>
    <row r="80" spans="2:7" ht="29" outlineLevel="1" x14ac:dyDescent="0.35">
      <c r="B80" s="77"/>
      <c r="C80" s="2"/>
      <c r="D80" s="2" t="s">
        <v>42</v>
      </c>
      <c r="E80" s="2" t="s">
        <v>795</v>
      </c>
      <c r="F80" s="62"/>
      <c r="G80" s="82" t="s">
        <v>341</v>
      </c>
    </row>
    <row r="81" spans="2:7" ht="33" customHeight="1" outlineLevel="1" x14ac:dyDescent="0.35">
      <c r="B81" s="77"/>
      <c r="C81" s="2"/>
      <c r="D81" s="2" t="s">
        <v>2915</v>
      </c>
      <c r="E81" s="2" t="s">
        <v>796</v>
      </c>
      <c r="F81" s="62"/>
      <c r="G81" s="82" t="s">
        <v>341</v>
      </c>
    </row>
    <row r="82" spans="2:7" ht="58" outlineLevel="1" x14ac:dyDescent="0.35">
      <c r="B82" s="77"/>
      <c r="C82" s="77"/>
      <c r="D82" s="2" t="s">
        <v>3428</v>
      </c>
      <c r="E82" s="2" t="s">
        <v>797</v>
      </c>
      <c r="F82" s="62"/>
      <c r="G82" s="82" t="s">
        <v>341</v>
      </c>
    </row>
    <row r="83" spans="2:7" ht="58" outlineLevel="1" x14ac:dyDescent="0.35">
      <c r="B83" s="77"/>
      <c r="C83" s="77"/>
      <c r="D83" s="2" t="s">
        <v>3429</v>
      </c>
      <c r="E83" s="2" t="s">
        <v>669</v>
      </c>
      <c r="F83" s="62"/>
      <c r="G83" s="82" t="s">
        <v>341</v>
      </c>
    </row>
    <row r="84" spans="2:7" ht="43.5" outlineLevel="1" x14ac:dyDescent="0.35">
      <c r="B84" s="77"/>
      <c r="C84" s="77"/>
      <c r="D84" s="2" t="s">
        <v>2916</v>
      </c>
      <c r="E84" s="2" t="s">
        <v>798</v>
      </c>
      <c r="F84" s="62"/>
      <c r="G84" s="82" t="s">
        <v>341</v>
      </c>
    </row>
    <row r="85" spans="2:7" ht="31.5" customHeight="1" outlineLevel="1" x14ac:dyDescent="0.35">
      <c r="B85" s="77"/>
      <c r="C85" s="77"/>
      <c r="D85" s="2" t="s">
        <v>2917</v>
      </c>
      <c r="E85" s="2" t="s">
        <v>799</v>
      </c>
      <c r="F85" s="62"/>
      <c r="G85" s="82" t="s">
        <v>341</v>
      </c>
    </row>
    <row r="86" spans="2:7" outlineLevel="1" x14ac:dyDescent="0.35">
      <c r="B86" s="77"/>
      <c r="C86" s="2"/>
      <c r="D86" s="2" t="s">
        <v>2918</v>
      </c>
      <c r="E86" s="2" t="s">
        <v>623</v>
      </c>
      <c r="F86" s="62"/>
      <c r="G86" s="82" t="s">
        <v>341</v>
      </c>
    </row>
    <row r="87" spans="2:7" ht="43.5" outlineLevel="1" x14ac:dyDescent="0.35">
      <c r="B87" s="77"/>
      <c r="C87" s="2"/>
      <c r="D87" s="2" t="s">
        <v>2919</v>
      </c>
      <c r="E87" s="2" t="s">
        <v>114</v>
      </c>
      <c r="F87" s="62"/>
      <c r="G87" s="82" t="s">
        <v>341</v>
      </c>
    </row>
    <row r="88" spans="2:7" ht="58" outlineLevel="1" x14ac:dyDescent="0.35">
      <c r="B88" s="77"/>
      <c r="C88" s="77"/>
      <c r="D88" s="2" t="s">
        <v>2920</v>
      </c>
      <c r="E88" s="2" t="s">
        <v>1168</v>
      </c>
      <c r="F88" s="62"/>
      <c r="G88" s="82" t="s">
        <v>341</v>
      </c>
    </row>
    <row r="89" spans="2:7" ht="43.5" outlineLevel="1" x14ac:dyDescent="0.35">
      <c r="B89" s="77"/>
      <c r="C89" s="2"/>
      <c r="D89" s="2" t="s">
        <v>2921</v>
      </c>
      <c r="E89" s="2" t="s">
        <v>800</v>
      </c>
      <c r="F89" s="62"/>
      <c r="G89" s="82" t="s">
        <v>341</v>
      </c>
    </row>
    <row r="90" spans="2:7" ht="43.5" outlineLevel="1" x14ac:dyDescent="0.35">
      <c r="B90" s="77"/>
      <c r="C90" s="2"/>
      <c r="D90" s="2" t="s">
        <v>2922</v>
      </c>
      <c r="E90" s="2" t="s">
        <v>801</v>
      </c>
      <c r="F90" s="62"/>
      <c r="G90" s="82" t="s">
        <v>341</v>
      </c>
    </row>
    <row r="91" spans="2:7" ht="43.5" outlineLevel="1" x14ac:dyDescent="0.35">
      <c r="B91" s="77"/>
      <c r="C91" s="2"/>
      <c r="D91" s="2" t="s">
        <v>2923</v>
      </c>
      <c r="E91" s="2" t="s">
        <v>802</v>
      </c>
      <c r="F91" s="62"/>
      <c r="G91" s="82" t="s">
        <v>341</v>
      </c>
    </row>
    <row r="92" spans="2:7" ht="58" outlineLevel="1" x14ac:dyDescent="0.35">
      <c r="B92" s="77"/>
      <c r="C92" s="2"/>
      <c r="D92" s="2" t="s">
        <v>366</v>
      </c>
      <c r="E92" s="2" t="s">
        <v>803</v>
      </c>
      <c r="F92" s="62"/>
      <c r="G92" s="82" t="s">
        <v>341</v>
      </c>
    </row>
    <row r="93" spans="2:7" ht="58" outlineLevel="1" x14ac:dyDescent="0.35">
      <c r="B93" s="77"/>
      <c r="C93" s="2"/>
      <c r="D93" s="2" t="s">
        <v>2924</v>
      </c>
      <c r="E93" s="2" t="s">
        <v>1914</v>
      </c>
      <c r="F93" s="62"/>
      <c r="G93" s="82" t="s">
        <v>341</v>
      </c>
    </row>
    <row r="94" spans="2:7" ht="58" outlineLevel="1" x14ac:dyDescent="0.35">
      <c r="B94" s="77"/>
      <c r="C94" s="2"/>
      <c r="D94" s="2" t="s">
        <v>2925</v>
      </c>
      <c r="E94" s="2" t="s">
        <v>1915</v>
      </c>
      <c r="F94" s="62"/>
      <c r="G94" s="82" t="s">
        <v>341</v>
      </c>
    </row>
    <row r="95" spans="2:7" ht="72.5" outlineLevel="1" x14ac:dyDescent="0.35">
      <c r="B95" s="77"/>
      <c r="C95" s="2"/>
      <c r="D95" s="2" t="s">
        <v>367</v>
      </c>
      <c r="E95" s="2" t="s">
        <v>4043</v>
      </c>
      <c r="F95" s="62"/>
      <c r="G95" s="82" t="s">
        <v>341</v>
      </c>
    </row>
    <row r="96" spans="2:7" outlineLevel="1" x14ac:dyDescent="0.35">
      <c r="B96" s="77"/>
      <c r="C96" s="2"/>
      <c r="D96" s="2" t="s">
        <v>3430</v>
      </c>
      <c r="E96" s="2" t="s">
        <v>1210</v>
      </c>
      <c r="F96" s="62"/>
      <c r="G96" s="82" t="s">
        <v>341</v>
      </c>
    </row>
    <row r="97" spans="2:7" x14ac:dyDescent="0.35">
      <c r="B97" s="77"/>
      <c r="C97" s="2"/>
      <c r="D97" s="81" t="s">
        <v>115</v>
      </c>
      <c r="E97" s="1"/>
      <c r="F97" s="62"/>
      <c r="G97" s="88"/>
    </row>
    <row r="98" spans="2:7" ht="29" outlineLevel="1" x14ac:dyDescent="0.35">
      <c r="B98" s="77"/>
      <c r="C98" s="2"/>
      <c r="D98" s="2" t="s">
        <v>3431</v>
      </c>
      <c r="E98" s="2" t="s">
        <v>372</v>
      </c>
      <c r="F98" s="62"/>
      <c r="G98" s="82" t="s">
        <v>341</v>
      </c>
    </row>
    <row r="99" spans="2:7" ht="29" outlineLevel="1" x14ac:dyDescent="0.35">
      <c r="B99" s="77"/>
      <c r="C99" s="2"/>
      <c r="D99" s="2" t="s">
        <v>2926</v>
      </c>
      <c r="E99" s="2" t="s">
        <v>804</v>
      </c>
      <c r="F99" s="62"/>
      <c r="G99" s="82" t="s">
        <v>341</v>
      </c>
    </row>
    <row r="100" spans="2:7" ht="29" outlineLevel="1" x14ac:dyDescent="0.35">
      <c r="B100" s="77"/>
      <c r="C100" s="2"/>
      <c r="D100" s="2" t="s">
        <v>2927</v>
      </c>
      <c r="E100" s="2" t="s">
        <v>71</v>
      </c>
      <c r="F100" s="62"/>
      <c r="G100" s="82" t="s">
        <v>341</v>
      </c>
    </row>
    <row r="101" spans="2:7" ht="29" outlineLevel="1" x14ac:dyDescent="0.35">
      <c r="B101" s="77"/>
      <c r="C101" s="2"/>
      <c r="D101" s="2" t="s">
        <v>2928</v>
      </c>
      <c r="E101" s="2" t="s">
        <v>373</v>
      </c>
      <c r="F101" s="62"/>
      <c r="G101" s="82" t="s">
        <v>341</v>
      </c>
    </row>
    <row r="102" spans="2:7" ht="29" outlineLevel="1" x14ac:dyDescent="0.35">
      <c r="B102" s="77"/>
      <c r="C102" s="2"/>
      <c r="D102" s="2" t="s">
        <v>119</v>
      </c>
      <c r="E102" s="2" t="s">
        <v>70</v>
      </c>
      <c r="F102" s="62"/>
      <c r="G102" s="82" t="s">
        <v>341</v>
      </c>
    </row>
    <row r="103" spans="2:7" ht="43.5" outlineLevel="1" x14ac:dyDescent="0.35">
      <c r="B103" s="77"/>
      <c r="C103" s="2"/>
      <c r="D103" s="2" t="s">
        <v>3432</v>
      </c>
      <c r="E103" s="2" t="s">
        <v>624</v>
      </c>
      <c r="F103" s="62"/>
      <c r="G103" s="82" t="s">
        <v>341</v>
      </c>
    </row>
    <row r="104" spans="2:7" ht="58" outlineLevel="1" x14ac:dyDescent="0.35">
      <c r="B104" s="77"/>
      <c r="C104" s="2"/>
      <c r="D104" s="2" t="s">
        <v>3433</v>
      </c>
      <c r="E104" s="2" t="s">
        <v>1323</v>
      </c>
      <c r="F104" s="62"/>
      <c r="G104" s="82" t="s">
        <v>341</v>
      </c>
    </row>
    <row r="105" spans="2:7" ht="58" outlineLevel="1" x14ac:dyDescent="0.35">
      <c r="B105" s="77"/>
      <c r="C105" s="2"/>
      <c r="D105" s="2" t="s">
        <v>2929</v>
      </c>
      <c r="E105" s="2" t="s">
        <v>1322</v>
      </c>
      <c r="F105" s="62"/>
      <c r="G105" s="82" t="s">
        <v>341</v>
      </c>
    </row>
    <row r="106" spans="2:7" ht="43.5" outlineLevel="1" x14ac:dyDescent="0.35">
      <c r="B106" s="77"/>
      <c r="C106" s="2"/>
      <c r="D106" s="2" t="s">
        <v>3434</v>
      </c>
      <c r="E106" s="2" t="s">
        <v>625</v>
      </c>
      <c r="F106" s="62"/>
      <c r="G106" s="82" t="s">
        <v>341</v>
      </c>
    </row>
    <row r="107" spans="2:7" ht="29" outlineLevel="1" x14ac:dyDescent="0.35">
      <c r="B107" s="77"/>
      <c r="C107" s="2"/>
      <c r="D107" s="2" t="s">
        <v>3435</v>
      </c>
      <c r="E107" s="2" t="s">
        <v>1647</v>
      </c>
      <c r="F107" s="62"/>
      <c r="G107" s="82" t="s">
        <v>341</v>
      </c>
    </row>
    <row r="108" spans="2:7" ht="29" outlineLevel="1" x14ac:dyDescent="0.35">
      <c r="B108" s="77"/>
      <c r="C108" s="2"/>
      <c r="D108" s="2" t="s">
        <v>117</v>
      </c>
      <c r="E108" s="2" t="s">
        <v>118</v>
      </c>
      <c r="F108" s="62"/>
      <c r="G108" s="82" t="s">
        <v>341</v>
      </c>
    </row>
    <row r="109" spans="2:7" ht="29" outlineLevel="1" x14ac:dyDescent="0.35">
      <c r="B109" s="77"/>
      <c r="C109" s="2"/>
      <c r="D109" s="2" t="s">
        <v>43</v>
      </c>
      <c r="E109" s="2" t="s">
        <v>805</v>
      </c>
      <c r="F109" s="62"/>
      <c r="G109" s="82" t="s">
        <v>341</v>
      </c>
    </row>
    <row r="110" spans="2:7" ht="29" outlineLevel="1" x14ac:dyDescent="0.35">
      <c r="B110" s="77"/>
      <c r="C110" s="2"/>
      <c r="D110" s="2" t="s">
        <v>2930</v>
      </c>
      <c r="E110" s="2" t="s">
        <v>116</v>
      </c>
      <c r="F110" s="62"/>
      <c r="G110" s="82" t="s">
        <v>341</v>
      </c>
    </row>
    <row r="111" spans="2:7" ht="29" outlineLevel="1" x14ac:dyDescent="0.35">
      <c r="B111" s="77"/>
      <c r="C111" s="2"/>
      <c r="D111" s="2" t="s">
        <v>3436</v>
      </c>
      <c r="E111" s="2" t="s">
        <v>2935</v>
      </c>
      <c r="F111" s="62"/>
      <c r="G111" s="82" t="s">
        <v>341</v>
      </c>
    </row>
    <row r="112" spans="2:7" ht="29" outlineLevel="1" x14ac:dyDescent="0.35">
      <c r="B112" s="77"/>
      <c r="C112" s="2"/>
      <c r="D112" s="2" t="s">
        <v>2931</v>
      </c>
      <c r="E112" s="2" t="s">
        <v>2936</v>
      </c>
      <c r="F112" s="62"/>
      <c r="G112" s="82" t="s">
        <v>341</v>
      </c>
    </row>
    <row r="113" spans="2:7" ht="29" outlineLevel="1" x14ac:dyDescent="0.35">
      <c r="B113" s="77"/>
      <c r="C113" s="2"/>
      <c r="D113" s="2" t="s">
        <v>2932</v>
      </c>
      <c r="E113" s="2" t="s">
        <v>4044</v>
      </c>
      <c r="F113" s="62"/>
      <c r="G113" s="82" t="s">
        <v>341</v>
      </c>
    </row>
    <row r="114" spans="2:7" x14ac:dyDescent="0.35">
      <c r="B114" s="77"/>
      <c r="C114" s="2"/>
      <c r="D114" s="81" t="s">
        <v>120</v>
      </c>
      <c r="E114" s="2"/>
      <c r="F114" s="62"/>
      <c r="G114" s="88"/>
    </row>
    <row r="115" spans="2:7" ht="29" outlineLevel="1" x14ac:dyDescent="0.35">
      <c r="B115" s="77"/>
      <c r="C115" s="2"/>
      <c r="D115" s="2" t="s">
        <v>7</v>
      </c>
      <c r="E115" s="2" t="s">
        <v>806</v>
      </c>
      <c r="F115" s="62"/>
      <c r="G115" s="82" t="s">
        <v>341</v>
      </c>
    </row>
    <row r="116" spans="2:7" ht="29" outlineLevel="1" x14ac:dyDescent="0.35">
      <c r="B116" s="77"/>
      <c r="C116" s="2"/>
      <c r="D116" s="2" t="s">
        <v>8</v>
      </c>
      <c r="E116" s="2" t="s">
        <v>121</v>
      </c>
      <c r="F116" s="62"/>
      <c r="G116" s="82" t="s">
        <v>341</v>
      </c>
    </row>
    <row r="117" spans="2:7" ht="31" customHeight="1" outlineLevel="1" x14ac:dyDescent="0.35">
      <c r="B117" s="77"/>
      <c r="C117" s="2"/>
      <c r="D117" s="2" t="s">
        <v>2834</v>
      </c>
      <c r="E117" s="2" t="s">
        <v>122</v>
      </c>
      <c r="F117" s="62"/>
      <c r="G117" s="82" t="s">
        <v>341</v>
      </c>
    </row>
    <row r="118" spans="2:7" ht="29" outlineLevel="1" x14ac:dyDescent="0.35">
      <c r="B118" s="77"/>
      <c r="C118" s="2"/>
      <c r="D118" s="2" t="s">
        <v>6</v>
      </c>
      <c r="E118" s="2" t="s">
        <v>626</v>
      </c>
      <c r="F118" s="62"/>
      <c r="G118" s="82" t="s">
        <v>341</v>
      </c>
    </row>
    <row r="119" spans="2:7" ht="29" outlineLevel="1" x14ac:dyDescent="0.35">
      <c r="B119" s="77"/>
      <c r="C119" s="2"/>
      <c r="D119" s="2" t="s">
        <v>9</v>
      </c>
      <c r="E119" s="2" t="s">
        <v>72</v>
      </c>
      <c r="F119" s="62"/>
      <c r="G119" s="82" t="s">
        <v>341</v>
      </c>
    </row>
    <row r="120" spans="2:7" x14ac:dyDescent="0.35">
      <c r="B120" s="77"/>
      <c r="C120" s="2"/>
      <c r="D120" s="81" t="s">
        <v>123</v>
      </c>
      <c r="E120" s="2"/>
      <c r="F120" s="62"/>
      <c r="G120" s="89"/>
    </row>
    <row r="121" spans="2:7" ht="29" outlineLevel="1" x14ac:dyDescent="0.35">
      <c r="B121" s="77"/>
      <c r="C121" s="2"/>
      <c r="D121" s="2" t="s">
        <v>10</v>
      </c>
      <c r="E121" s="2" t="s">
        <v>807</v>
      </c>
      <c r="F121" s="62"/>
      <c r="G121" s="82" t="s">
        <v>341</v>
      </c>
    </row>
    <row r="122" spans="2:7" ht="29" outlineLevel="1" x14ac:dyDescent="0.35">
      <c r="B122" s="77"/>
      <c r="C122" s="2"/>
      <c r="D122" s="2" t="s">
        <v>2824</v>
      </c>
      <c r="E122" s="2" t="s">
        <v>808</v>
      </c>
      <c r="F122" s="62"/>
      <c r="G122" s="82" t="s">
        <v>341</v>
      </c>
    </row>
    <row r="123" spans="2:7" ht="29" outlineLevel="1" x14ac:dyDescent="0.35">
      <c r="B123" s="77"/>
      <c r="C123" s="2"/>
      <c r="D123" s="2" t="s">
        <v>3437</v>
      </c>
      <c r="E123" s="2" t="s">
        <v>652</v>
      </c>
      <c r="F123" s="62"/>
      <c r="G123" s="82" t="s">
        <v>341</v>
      </c>
    </row>
    <row r="124" spans="2:7" ht="29" outlineLevel="1" x14ac:dyDescent="0.35">
      <c r="B124" s="77"/>
      <c r="C124" s="2"/>
      <c r="D124" s="2" t="s">
        <v>11</v>
      </c>
      <c r="E124" s="2" t="s">
        <v>809</v>
      </c>
      <c r="F124" s="62"/>
      <c r="G124" s="82" t="s">
        <v>341</v>
      </c>
    </row>
    <row r="125" spans="2:7" ht="29" outlineLevel="1" x14ac:dyDescent="0.35">
      <c r="B125" s="77"/>
      <c r="C125" s="2"/>
      <c r="D125" s="2" t="s">
        <v>12</v>
      </c>
      <c r="E125" s="2" t="s">
        <v>653</v>
      </c>
      <c r="F125" s="62"/>
      <c r="G125" s="82" t="s">
        <v>341</v>
      </c>
    </row>
    <row r="126" spans="2:7" ht="29" outlineLevel="1" x14ac:dyDescent="0.35">
      <c r="B126" s="77"/>
      <c r="C126" s="2"/>
      <c r="D126" s="2" t="s">
        <v>2825</v>
      </c>
      <c r="E126" s="2" t="s">
        <v>810</v>
      </c>
      <c r="F126" s="62"/>
      <c r="G126" s="82" t="s">
        <v>341</v>
      </c>
    </row>
    <row r="127" spans="2:7" x14ac:dyDescent="0.35">
      <c r="B127" s="77"/>
      <c r="C127" s="2"/>
      <c r="D127" s="81" t="s">
        <v>124</v>
      </c>
      <c r="E127" s="2"/>
      <c r="F127" s="62"/>
      <c r="G127" s="89"/>
    </row>
    <row r="128" spans="2:7" ht="29" outlineLevel="1" x14ac:dyDescent="0.35">
      <c r="B128" s="77"/>
      <c r="C128" s="2"/>
      <c r="D128" s="2" t="s">
        <v>811</v>
      </c>
      <c r="E128" s="2" t="s">
        <v>812</v>
      </c>
      <c r="F128" s="62"/>
      <c r="G128" s="82" t="s">
        <v>341</v>
      </c>
    </row>
    <row r="129" spans="2:7" ht="29" outlineLevel="1" x14ac:dyDescent="0.35">
      <c r="B129" s="77"/>
      <c r="C129" s="2"/>
      <c r="D129" s="2" t="s">
        <v>2933</v>
      </c>
      <c r="E129" s="2" t="s">
        <v>69</v>
      </c>
      <c r="F129" s="62"/>
      <c r="G129" s="82" t="s">
        <v>341</v>
      </c>
    </row>
    <row r="130" spans="2:7" ht="29" outlineLevel="1" x14ac:dyDescent="0.35">
      <c r="B130" s="77"/>
      <c r="C130" s="2"/>
      <c r="D130" s="2" t="s">
        <v>2835</v>
      </c>
      <c r="E130" s="2" t="s">
        <v>234</v>
      </c>
      <c r="F130" s="62"/>
      <c r="G130" s="82" t="s">
        <v>341</v>
      </c>
    </row>
    <row r="131" spans="2:7" x14ac:dyDescent="0.35">
      <c r="B131" s="77"/>
      <c r="C131" s="2"/>
      <c r="D131" s="81" t="s">
        <v>2802</v>
      </c>
      <c r="E131" s="2"/>
      <c r="F131" s="62"/>
      <c r="G131" s="89"/>
    </row>
    <row r="132" spans="2:7" outlineLevel="1" x14ac:dyDescent="0.35">
      <c r="B132" s="77"/>
      <c r="C132" s="2"/>
      <c r="D132" s="81" t="s">
        <v>2853</v>
      </c>
      <c r="E132" s="2"/>
      <c r="F132" s="62"/>
      <c r="G132" s="89"/>
    </row>
    <row r="133" spans="2:7" outlineLevel="1" x14ac:dyDescent="0.35">
      <c r="B133" s="77"/>
      <c r="C133" s="2"/>
      <c r="D133" s="2" t="s">
        <v>3438</v>
      </c>
      <c r="E133" s="2" t="s">
        <v>2854</v>
      </c>
      <c r="F133" s="62"/>
      <c r="G133" s="82" t="s">
        <v>341</v>
      </c>
    </row>
    <row r="134" spans="2:7" ht="29" outlineLevel="1" x14ac:dyDescent="0.35">
      <c r="B134" s="77"/>
      <c r="C134" s="2"/>
      <c r="D134" s="2" t="s">
        <v>2804</v>
      </c>
      <c r="E134" s="2" t="s">
        <v>2855</v>
      </c>
      <c r="F134" s="62"/>
      <c r="G134" s="82" t="s">
        <v>341</v>
      </c>
    </row>
    <row r="135" spans="2:7" ht="43.5" outlineLevel="1" x14ac:dyDescent="0.35">
      <c r="B135" s="77"/>
      <c r="C135" s="2"/>
      <c r="D135" s="2" t="s">
        <v>3439</v>
      </c>
      <c r="E135" s="2" t="s">
        <v>3054</v>
      </c>
      <c r="F135" s="62"/>
      <c r="G135" s="82" t="s">
        <v>341</v>
      </c>
    </row>
    <row r="136" spans="2:7" ht="29" outlineLevel="1" x14ac:dyDescent="0.35">
      <c r="B136" s="77"/>
      <c r="C136" s="2"/>
      <c r="D136" s="2" t="s">
        <v>2856</v>
      </c>
      <c r="E136" s="2" t="s">
        <v>2857</v>
      </c>
      <c r="F136" s="62"/>
      <c r="G136" s="82" t="s">
        <v>341</v>
      </c>
    </row>
    <row r="137" spans="2:7" ht="29" outlineLevel="1" x14ac:dyDescent="0.35">
      <c r="B137" s="77"/>
      <c r="C137" s="2"/>
      <c r="D137" s="2" t="s">
        <v>3692</v>
      </c>
      <c r="E137" s="2" t="s">
        <v>2870</v>
      </c>
      <c r="F137" s="62"/>
      <c r="G137" s="82" t="s">
        <v>341</v>
      </c>
    </row>
    <row r="138" spans="2:7" ht="29" outlineLevel="1" x14ac:dyDescent="0.35">
      <c r="B138" s="77"/>
      <c r="C138" s="2"/>
      <c r="D138" s="2" t="s">
        <v>3693</v>
      </c>
      <c r="E138" s="2" t="s">
        <v>2871</v>
      </c>
      <c r="F138" s="62"/>
      <c r="G138" s="82" t="s">
        <v>341</v>
      </c>
    </row>
    <row r="139" spans="2:7" ht="29" outlineLevel="1" x14ac:dyDescent="0.35">
      <c r="B139" s="77"/>
      <c r="C139" s="2"/>
      <c r="D139" s="2" t="s">
        <v>3695</v>
      </c>
      <c r="E139" s="2" t="s">
        <v>2872</v>
      </c>
      <c r="F139" s="62"/>
      <c r="G139" s="82" t="s">
        <v>341</v>
      </c>
    </row>
    <row r="140" spans="2:7" s="50" customFormat="1" x14ac:dyDescent="0.35">
      <c r="B140" s="46"/>
      <c r="C140" s="47"/>
      <c r="D140" s="81" t="s">
        <v>2858</v>
      </c>
      <c r="E140" s="47"/>
      <c r="F140" s="48"/>
      <c r="G140" s="52"/>
    </row>
    <row r="141" spans="2:7" ht="43.5" outlineLevel="1" x14ac:dyDescent="0.35">
      <c r="B141" s="77"/>
      <c r="C141" s="2"/>
      <c r="D141" s="2" t="s">
        <v>2889</v>
      </c>
      <c r="E141" s="2" t="s">
        <v>2861</v>
      </c>
      <c r="F141" s="62"/>
      <c r="G141" s="82" t="s">
        <v>341</v>
      </c>
    </row>
    <row r="142" spans="2:7" ht="29" outlineLevel="1" x14ac:dyDescent="0.35">
      <c r="B142" s="77"/>
      <c r="C142" s="2"/>
      <c r="D142" s="2" t="s">
        <v>2859</v>
      </c>
      <c r="E142" s="2" t="s">
        <v>2862</v>
      </c>
      <c r="F142" s="62"/>
      <c r="G142" s="82" t="s">
        <v>341</v>
      </c>
    </row>
    <row r="143" spans="2:7" ht="29" outlineLevel="1" x14ac:dyDescent="0.35">
      <c r="B143" s="77"/>
      <c r="C143" s="2"/>
      <c r="D143" s="2" t="s">
        <v>2860</v>
      </c>
      <c r="E143" s="2" t="s">
        <v>2863</v>
      </c>
      <c r="F143" s="62"/>
      <c r="G143" s="82" t="s">
        <v>341</v>
      </c>
    </row>
    <row r="144" spans="2:7" ht="29" outlineLevel="1" x14ac:dyDescent="0.35">
      <c r="B144" s="77"/>
      <c r="C144" s="2"/>
      <c r="D144" s="2" t="s">
        <v>3444</v>
      </c>
      <c r="E144" s="2" t="s">
        <v>2875</v>
      </c>
      <c r="F144" s="62"/>
      <c r="G144" s="82" t="s">
        <v>341</v>
      </c>
    </row>
    <row r="145" spans="2:7" ht="58" outlineLevel="1" x14ac:dyDescent="0.35">
      <c r="B145" s="77"/>
      <c r="C145" s="2"/>
      <c r="D145" s="2" t="s">
        <v>3446</v>
      </c>
      <c r="E145" s="2" t="s">
        <v>2876</v>
      </c>
      <c r="F145" s="62"/>
      <c r="G145" s="82" t="s">
        <v>341</v>
      </c>
    </row>
    <row r="146" spans="2:7" ht="29" outlineLevel="1" x14ac:dyDescent="0.35">
      <c r="B146" s="77"/>
      <c r="C146" s="2"/>
      <c r="D146" s="2" t="s">
        <v>3448</v>
      </c>
      <c r="E146" s="2" t="s">
        <v>2879</v>
      </c>
      <c r="F146" s="62"/>
      <c r="G146" s="82" t="s">
        <v>341</v>
      </c>
    </row>
    <row r="147" spans="2:7" outlineLevel="1" x14ac:dyDescent="0.35">
      <c r="B147" s="77"/>
      <c r="C147" s="2"/>
      <c r="D147" s="81" t="s">
        <v>2864</v>
      </c>
      <c r="E147" s="2"/>
      <c r="F147" s="62"/>
      <c r="G147" s="52"/>
    </row>
    <row r="148" spans="2:7" ht="29" outlineLevel="1" x14ac:dyDescent="0.35">
      <c r="B148" s="77"/>
      <c r="C148" s="2"/>
      <c r="D148" s="2" t="s">
        <v>2865</v>
      </c>
      <c r="E148" s="2" t="s">
        <v>2867</v>
      </c>
      <c r="F148" s="62"/>
      <c r="G148" s="82" t="s">
        <v>341</v>
      </c>
    </row>
    <row r="149" spans="2:7" ht="43.5" outlineLevel="1" x14ac:dyDescent="0.35">
      <c r="B149" s="77"/>
      <c r="C149" s="2"/>
      <c r="D149" s="2" t="s">
        <v>2866</v>
      </c>
      <c r="E149" s="2" t="s">
        <v>2956</v>
      </c>
      <c r="F149" s="62"/>
      <c r="G149" s="82" t="s">
        <v>341</v>
      </c>
    </row>
    <row r="150" spans="2:7" ht="58" outlineLevel="1" x14ac:dyDescent="0.35">
      <c r="B150" s="77"/>
      <c r="C150" s="2"/>
      <c r="D150" s="56" t="s">
        <v>3446</v>
      </c>
      <c r="E150" s="2" t="s">
        <v>2876</v>
      </c>
      <c r="F150" s="62"/>
      <c r="G150" s="82" t="s">
        <v>341</v>
      </c>
    </row>
    <row r="151" spans="2:7" x14ac:dyDescent="0.35">
      <c r="B151" s="77"/>
      <c r="C151" s="2"/>
      <c r="D151" s="81" t="s">
        <v>3450</v>
      </c>
      <c r="E151" s="2"/>
      <c r="F151" s="62"/>
      <c r="G151" s="89"/>
    </row>
    <row r="152" spans="2:7" outlineLevel="1" x14ac:dyDescent="0.35">
      <c r="B152" s="77"/>
      <c r="C152" s="2"/>
      <c r="D152" s="81" t="s">
        <v>3451</v>
      </c>
      <c r="E152" s="2"/>
      <c r="F152" s="62"/>
      <c r="G152" s="89"/>
    </row>
    <row r="153" spans="2:7" ht="29" outlineLevel="1" x14ac:dyDescent="0.35">
      <c r="B153" s="77"/>
      <c r="C153" s="2"/>
      <c r="D153" s="2" t="s">
        <v>3440</v>
      </c>
      <c r="E153" s="2" t="s">
        <v>2870</v>
      </c>
      <c r="F153" s="62"/>
      <c r="G153" s="82" t="s">
        <v>341</v>
      </c>
    </row>
    <row r="154" spans="2:7" ht="29" outlineLevel="1" x14ac:dyDescent="0.35">
      <c r="B154" s="77"/>
      <c r="C154" s="2"/>
      <c r="D154" s="2" t="s">
        <v>3441</v>
      </c>
      <c r="E154" s="2" t="s">
        <v>2871</v>
      </c>
      <c r="F154" s="62"/>
      <c r="G154" s="82" t="s">
        <v>341</v>
      </c>
    </row>
    <row r="155" spans="2:7" ht="29" outlineLevel="1" x14ac:dyDescent="0.35">
      <c r="B155" s="77"/>
      <c r="C155" s="2"/>
      <c r="D155" s="2" t="s">
        <v>3442</v>
      </c>
      <c r="E155" s="2" t="s">
        <v>2872</v>
      </c>
      <c r="F155" s="62"/>
      <c r="G155" s="82" t="s">
        <v>341</v>
      </c>
    </row>
    <row r="156" spans="2:7" ht="29" outlineLevel="1" x14ac:dyDescent="0.35">
      <c r="B156" s="77"/>
      <c r="C156" s="2"/>
      <c r="D156" s="2" t="s">
        <v>125</v>
      </c>
      <c r="E156" s="2" t="s">
        <v>627</v>
      </c>
      <c r="F156" s="62"/>
      <c r="G156" s="82" t="s">
        <v>341</v>
      </c>
    </row>
    <row r="157" spans="2:7" ht="29" outlineLevel="1" x14ac:dyDescent="0.35">
      <c r="B157" s="77"/>
      <c r="C157" s="2"/>
      <c r="D157" s="2" t="s">
        <v>2868</v>
      </c>
      <c r="E157" s="2" t="s">
        <v>2873</v>
      </c>
      <c r="F157" s="62"/>
      <c r="G157" s="82" t="s">
        <v>341</v>
      </c>
    </row>
    <row r="158" spans="2:7" ht="28.5" customHeight="1" outlineLevel="1" x14ac:dyDescent="0.35">
      <c r="B158" s="77"/>
      <c r="C158" s="2"/>
      <c r="D158" s="2" t="s">
        <v>13</v>
      </c>
      <c r="E158" s="2" t="s">
        <v>2803</v>
      </c>
      <c r="F158" s="62"/>
      <c r="G158" s="82" t="s">
        <v>341</v>
      </c>
    </row>
    <row r="159" spans="2:7" ht="43.5" outlineLevel="1" x14ac:dyDescent="0.35">
      <c r="B159" s="77"/>
      <c r="C159" s="2"/>
      <c r="D159" s="2" t="s">
        <v>3459</v>
      </c>
      <c r="E159" s="2" t="s">
        <v>1375</v>
      </c>
      <c r="F159" s="62"/>
      <c r="G159" s="82" t="s">
        <v>341</v>
      </c>
    </row>
    <row r="160" spans="2:7" ht="29" outlineLevel="1" x14ac:dyDescent="0.35">
      <c r="B160" s="77"/>
      <c r="C160" s="2"/>
      <c r="D160" s="2" t="s">
        <v>14</v>
      </c>
      <c r="E160" s="2" t="s">
        <v>2874</v>
      </c>
      <c r="F160" s="62"/>
      <c r="G160" s="82" t="s">
        <v>341</v>
      </c>
    </row>
    <row r="161" spans="2:7" outlineLevel="1" x14ac:dyDescent="0.35">
      <c r="B161" s="77"/>
      <c r="C161" s="2"/>
      <c r="D161" s="2" t="s">
        <v>648</v>
      </c>
      <c r="E161" s="2" t="s">
        <v>1650</v>
      </c>
      <c r="F161" s="62"/>
      <c r="G161" s="82" t="s">
        <v>341</v>
      </c>
    </row>
    <row r="162" spans="2:7" outlineLevel="1" x14ac:dyDescent="0.35">
      <c r="B162" s="77"/>
      <c r="C162" s="2"/>
      <c r="D162" s="81" t="s">
        <v>3452</v>
      </c>
      <c r="E162" s="2"/>
      <c r="F162" s="62"/>
      <c r="G162" s="52"/>
    </row>
    <row r="163" spans="2:7" ht="29" outlineLevel="1" x14ac:dyDescent="0.35">
      <c r="B163" s="77"/>
      <c r="C163" s="2"/>
      <c r="D163" s="2" t="s">
        <v>3443</v>
      </c>
      <c r="E163" s="2" t="s">
        <v>2875</v>
      </c>
      <c r="F163" s="62"/>
      <c r="G163" s="82" t="s">
        <v>341</v>
      </c>
    </row>
    <row r="164" spans="2:7" ht="58" outlineLevel="1" x14ac:dyDescent="0.35">
      <c r="B164" s="77"/>
      <c r="C164" s="2"/>
      <c r="D164" s="2" t="s">
        <v>3445</v>
      </c>
      <c r="E164" s="2" t="s">
        <v>2876</v>
      </c>
      <c r="F164" s="62"/>
      <c r="G164" s="82" t="s">
        <v>341</v>
      </c>
    </row>
    <row r="165" spans="2:7" ht="43.5" outlineLevel="1" x14ac:dyDescent="0.35">
      <c r="B165" s="77"/>
      <c r="C165" s="2"/>
      <c r="D165" s="2" t="s">
        <v>2888</v>
      </c>
      <c r="E165" s="2" t="s">
        <v>2877</v>
      </c>
      <c r="F165" s="62"/>
      <c r="G165" s="82" t="s">
        <v>341</v>
      </c>
    </row>
    <row r="166" spans="2:7" ht="29" outlineLevel="1" x14ac:dyDescent="0.35">
      <c r="B166" s="77"/>
      <c r="C166" s="2"/>
      <c r="D166" s="2" t="s">
        <v>2869</v>
      </c>
      <c r="E166" s="2" t="s">
        <v>2878</v>
      </c>
      <c r="F166" s="62"/>
      <c r="G166" s="82" t="s">
        <v>341</v>
      </c>
    </row>
    <row r="167" spans="2:7" ht="29" outlineLevel="1" x14ac:dyDescent="0.35">
      <c r="B167" s="77"/>
      <c r="C167" s="2"/>
      <c r="D167" s="2" t="s">
        <v>3447</v>
      </c>
      <c r="E167" s="2" t="s">
        <v>2879</v>
      </c>
      <c r="F167" s="62"/>
      <c r="G167" s="82" t="s">
        <v>341</v>
      </c>
    </row>
    <row r="168" spans="2:7" x14ac:dyDescent="0.35">
      <c r="B168" s="77"/>
      <c r="C168" s="2"/>
      <c r="D168" s="81" t="s">
        <v>368</v>
      </c>
      <c r="E168" s="2"/>
      <c r="F168" s="62"/>
      <c r="G168" s="89"/>
    </row>
    <row r="169" spans="2:7" ht="29" outlineLevel="1" x14ac:dyDescent="0.35">
      <c r="B169" s="77"/>
      <c r="C169" s="2"/>
      <c r="D169" s="2" t="s">
        <v>370</v>
      </c>
      <c r="E169" s="2" t="s">
        <v>511</v>
      </c>
      <c r="F169" s="62"/>
      <c r="G169" s="82" t="s">
        <v>341</v>
      </c>
    </row>
    <row r="170" spans="2:7" ht="60.5" customHeight="1" outlineLevel="1" x14ac:dyDescent="0.35">
      <c r="B170" s="77"/>
      <c r="C170" s="2"/>
      <c r="D170" s="2" t="s">
        <v>371</v>
      </c>
      <c r="E170" s="2" t="s">
        <v>1271</v>
      </c>
      <c r="F170" s="62"/>
      <c r="G170" s="82" t="s">
        <v>341</v>
      </c>
    </row>
    <row r="171" spans="2:7" ht="43.5" outlineLevel="1" x14ac:dyDescent="0.35">
      <c r="B171" s="77"/>
      <c r="C171" s="2"/>
      <c r="D171" s="2" t="s">
        <v>369</v>
      </c>
      <c r="E171" s="2" t="s">
        <v>813</v>
      </c>
      <c r="F171" s="62"/>
      <c r="G171" s="82" t="s">
        <v>341</v>
      </c>
    </row>
    <row r="172" spans="2:7" x14ac:dyDescent="0.35">
      <c r="B172" s="77"/>
      <c r="C172" s="2"/>
      <c r="D172" s="81" t="s">
        <v>1276</v>
      </c>
      <c r="E172" s="2"/>
      <c r="F172" s="62"/>
      <c r="G172" s="89"/>
    </row>
    <row r="173" spans="2:7" ht="72.5" outlineLevel="1" x14ac:dyDescent="0.35">
      <c r="B173" s="77"/>
      <c r="C173" s="2"/>
      <c r="D173" s="2" t="s">
        <v>1277</v>
      </c>
      <c r="E173" s="2" t="s">
        <v>1279</v>
      </c>
      <c r="F173" s="62"/>
      <c r="G173" s="82" t="s">
        <v>341</v>
      </c>
    </row>
    <row r="174" spans="2:7" ht="101.5" outlineLevel="1" x14ac:dyDescent="0.35">
      <c r="B174" s="77"/>
      <c r="C174" s="2"/>
      <c r="D174" s="2" t="s">
        <v>1278</v>
      </c>
      <c r="E174" s="2" t="s">
        <v>1280</v>
      </c>
      <c r="F174" s="62"/>
      <c r="G174" s="82" t="s">
        <v>341</v>
      </c>
    </row>
    <row r="175" spans="2:7" x14ac:dyDescent="0.35">
      <c r="B175" s="77"/>
      <c r="C175" s="2"/>
      <c r="D175" s="81" t="s">
        <v>2279</v>
      </c>
      <c r="E175" s="2"/>
      <c r="F175" s="62"/>
      <c r="G175" s="89"/>
    </row>
    <row r="176" spans="2:7" ht="43.5" outlineLevel="1" x14ac:dyDescent="0.35">
      <c r="B176" s="77"/>
      <c r="C176" s="2"/>
      <c r="D176" s="2" t="s">
        <v>2280</v>
      </c>
      <c r="E176" s="2" t="s">
        <v>3892</v>
      </c>
      <c r="F176" s="62"/>
      <c r="G176" s="82" t="s">
        <v>341</v>
      </c>
    </row>
    <row r="177" spans="2:8" ht="43.5" outlineLevel="1" x14ac:dyDescent="0.35">
      <c r="B177" s="77"/>
      <c r="C177" s="2"/>
      <c r="D177" s="2" t="s">
        <v>2281</v>
      </c>
      <c r="E177" s="2" t="s">
        <v>2282</v>
      </c>
      <c r="F177" s="62"/>
      <c r="G177" s="82" t="s">
        <v>341</v>
      </c>
    </row>
    <row r="178" spans="2:8" x14ac:dyDescent="0.35">
      <c r="B178" s="77"/>
      <c r="C178" s="2"/>
      <c r="D178" s="81" t="s">
        <v>2283</v>
      </c>
      <c r="E178" s="2"/>
      <c r="F178" s="62"/>
      <c r="G178" s="89"/>
    </row>
    <row r="179" spans="2:8" ht="43.5" outlineLevel="1" x14ac:dyDescent="0.35">
      <c r="B179" s="77"/>
      <c r="C179" s="2"/>
      <c r="D179" s="2" t="s">
        <v>2284</v>
      </c>
      <c r="E179" s="2" t="s">
        <v>3891</v>
      </c>
      <c r="F179" s="62"/>
      <c r="G179" s="82" t="s">
        <v>341</v>
      </c>
    </row>
    <row r="180" spans="2:8" ht="43.5" outlineLevel="1" x14ac:dyDescent="0.35">
      <c r="B180" s="77"/>
      <c r="C180" s="2"/>
      <c r="D180" s="2" t="s">
        <v>2285</v>
      </c>
      <c r="E180" s="2" t="s">
        <v>2292</v>
      </c>
      <c r="F180" s="62"/>
      <c r="G180" s="82" t="s">
        <v>341</v>
      </c>
    </row>
    <row r="181" spans="2:8" x14ac:dyDescent="0.35">
      <c r="B181" s="77"/>
      <c r="C181" s="2"/>
      <c r="D181" s="81" t="s">
        <v>2286</v>
      </c>
      <c r="E181" s="2"/>
      <c r="F181" s="62"/>
      <c r="G181" s="89"/>
    </row>
    <row r="182" spans="2:8" ht="58" outlineLevel="1" x14ac:dyDescent="0.35">
      <c r="B182" s="77"/>
      <c r="C182" s="2"/>
      <c r="D182" s="2" t="s">
        <v>2287</v>
      </c>
      <c r="E182" s="2" t="s">
        <v>3887</v>
      </c>
      <c r="F182" s="62"/>
      <c r="G182" s="82" t="s">
        <v>341</v>
      </c>
    </row>
    <row r="183" spans="2:8" ht="43.5" outlineLevel="1" x14ac:dyDescent="0.35">
      <c r="B183" s="77"/>
      <c r="C183" s="2"/>
      <c r="D183" s="2" t="s">
        <v>2288</v>
      </c>
      <c r="E183" s="2" t="s">
        <v>2293</v>
      </c>
      <c r="F183" s="62"/>
      <c r="G183" s="82" t="s">
        <v>341</v>
      </c>
    </row>
    <row r="184" spans="2:8" x14ac:dyDescent="0.35">
      <c r="B184" s="77"/>
      <c r="C184" s="2"/>
      <c r="D184" s="81" t="s">
        <v>2289</v>
      </c>
      <c r="E184" s="2"/>
      <c r="F184" s="62"/>
      <c r="G184" s="89"/>
    </row>
    <row r="185" spans="2:8" ht="58" outlineLevel="1" x14ac:dyDescent="0.35">
      <c r="B185" s="77"/>
      <c r="C185" s="2"/>
      <c r="D185" s="2" t="s">
        <v>2290</v>
      </c>
      <c r="E185" s="2" t="s">
        <v>3886</v>
      </c>
      <c r="F185" s="62"/>
      <c r="G185" s="82" t="s">
        <v>341</v>
      </c>
    </row>
    <row r="186" spans="2:8" ht="43.5" outlineLevel="1" x14ac:dyDescent="0.35">
      <c r="B186" s="77"/>
      <c r="C186" s="2"/>
      <c r="D186" s="2" t="s">
        <v>2291</v>
      </c>
      <c r="E186" s="2" t="s">
        <v>2294</v>
      </c>
      <c r="F186" s="62"/>
      <c r="G186" s="82" t="s">
        <v>341</v>
      </c>
    </row>
    <row r="187" spans="2:8" x14ac:dyDescent="0.35">
      <c r="B187" s="77"/>
      <c r="C187" s="77" t="s">
        <v>903</v>
      </c>
      <c r="D187" s="2"/>
      <c r="E187" s="2"/>
      <c r="F187" s="62"/>
      <c r="G187" s="80">
        <f>COUNTIF(G189:G277,"Yes")</f>
        <v>74</v>
      </c>
      <c r="H187" s="74"/>
    </row>
    <row r="188" spans="2:8" x14ac:dyDescent="0.35">
      <c r="B188" s="77"/>
      <c r="C188" s="77"/>
      <c r="D188" s="81" t="s">
        <v>126</v>
      </c>
      <c r="E188" s="2"/>
      <c r="F188" s="62"/>
      <c r="G188" s="89"/>
    </row>
    <row r="189" spans="2:8" ht="29" outlineLevel="1" x14ac:dyDescent="0.35">
      <c r="B189" s="77"/>
      <c r="C189" s="2"/>
      <c r="D189" s="2" t="s">
        <v>44</v>
      </c>
      <c r="E189" s="2" t="s">
        <v>3029</v>
      </c>
      <c r="F189" s="62"/>
      <c r="G189" s="82" t="s">
        <v>341</v>
      </c>
    </row>
    <row r="190" spans="2:8" x14ac:dyDescent="0.35">
      <c r="B190" s="77"/>
      <c r="C190" s="2"/>
      <c r="D190" s="81" t="s">
        <v>127</v>
      </c>
      <c r="E190" s="2"/>
      <c r="F190" s="62"/>
      <c r="G190" s="89"/>
    </row>
    <row r="191" spans="2:8" ht="29" outlineLevel="1" x14ac:dyDescent="0.35">
      <c r="B191" s="77"/>
      <c r="C191" s="2"/>
      <c r="D191" s="2" t="s">
        <v>45</v>
      </c>
      <c r="E191" s="2" t="s">
        <v>1785</v>
      </c>
      <c r="F191" s="62"/>
      <c r="G191" s="82" t="s">
        <v>341</v>
      </c>
    </row>
    <row r="192" spans="2:8" ht="43.5" outlineLevel="1" x14ac:dyDescent="0.35">
      <c r="B192" s="77"/>
      <c r="C192" s="2"/>
      <c r="D192" s="2" t="s">
        <v>128</v>
      </c>
      <c r="E192" s="2" t="s">
        <v>1456</v>
      </c>
      <c r="F192" s="62"/>
      <c r="G192" s="82" t="s">
        <v>341</v>
      </c>
    </row>
    <row r="193" spans="2:7" s="62" customFormat="1" x14ac:dyDescent="0.35">
      <c r="B193" s="94"/>
      <c r="C193" s="1"/>
      <c r="D193" s="81" t="s">
        <v>129</v>
      </c>
      <c r="E193" s="1"/>
      <c r="G193" s="95"/>
    </row>
    <row r="194" spans="2:7" s="62" customFormat="1" outlineLevel="1" x14ac:dyDescent="0.35">
      <c r="B194" s="94"/>
      <c r="C194" s="1"/>
      <c r="D194" s="2" t="s">
        <v>479</v>
      </c>
      <c r="E194" s="2" t="s">
        <v>895</v>
      </c>
      <c r="G194" s="82" t="s">
        <v>341</v>
      </c>
    </row>
    <row r="195" spans="2:7" s="62" customFormat="1" outlineLevel="1" x14ac:dyDescent="0.35">
      <c r="B195" s="94"/>
      <c r="C195" s="1"/>
      <c r="D195" s="2" t="s">
        <v>503</v>
      </c>
      <c r="E195" s="2" t="s">
        <v>504</v>
      </c>
      <c r="G195" s="82" t="s">
        <v>341</v>
      </c>
    </row>
    <row r="196" spans="2:7" s="62" customFormat="1" outlineLevel="1" x14ac:dyDescent="0.35">
      <c r="B196" s="94"/>
      <c r="C196" s="1"/>
      <c r="D196" s="2" t="s">
        <v>3460</v>
      </c>
      <c r="E196" s="2" t="s">
        <v>1207</v>
      </c>
      <c r="G196" s="82" t="s">
        <v>341</v>
      </c>
    </row>
    <row r="197" spans="2:7" s="62" customFormat="1" ht="87" outlineLevel="1" x14ac:dyDescent="0.35">
      <c r="B197" s="94"/>
      <c r="C197" s="1"/>
      <c r="D197" s="2" t="s">
        <v>3461</v>
      </c>
      <c r="E197" s="2" t="s">
        <v>1450</v>
      </c>
      <c r="G197" s="82" t="s">
        <v>341</v>
      </c>
    </row>
    <row r="198" spans="2:7" s="62" customFormat="1" ht="87" outlineLevel="1" x14ac:dyDescent="0.35">
      <c r="B198" s="94"/>
      <c r="C198" s="1"/>
      <c r="D198" s="2" t="s">
        <v>3462</v>
      </c>
      <c r="E198" s="2" t="s">
        <v>3895</v>
      </c>
      <c r="G198" s="82" t="s">
        <v>341</v>
      </c>
    </row>
    <row r="199" spans="2:7" s="62" customFormat="1" ht="29" outlineLevel="1" x14ac:dyDescent="0.35">
      <c r="B199" s="94"/>
      <c r="C199" s="1"/>
      <c r="D199" s="2" t="s">
        <v>473</v>
      </c>
      <c r="E199" s="2" t="s">
        <v>3331</v>
      </c>
      <c r="G199" s="82" t="s">
        <v>341</v>
      </c>
    </row>
    <row r="200" spans="2:7" s="62" customFormat="1" ht="46.5" customHeight="1" outlineLevel="1" x14ac:dyDescent="0.35">
      <c r="B200" s="94"/>
      <c r="C200" s="1"/>
      <c r="D200" s="2" t="s">
        <v>471</v>
      </c>
      <c r="E200" s="2" t="s">
        <v>665</v>
      </c>
      <c r="G200" s="82" t="s">
        <v>341</v>
      </c>
    </row>
    <row r="201" spans="2:7" s="62" customFormat="1" outlineLevel="1" x14ac:dyDescent="0.35">
      <c r="B201" s="94"/>
      <c r="C201" s="1"/>
      <c r="D201" s="2" t="s">
        <v>472</v>
      </c>
      <c r="E201" s="2" t="s">
        <v>130</v>
      </c>
      <c r="G201" s="82" t="s">
        <v>341</v>
      </c>
    </row>
    <row r="202" spans="2:7" s="62" customFormat="1" ht="72.5" outlineLevel="1" x14ac:dyDescent="0.35">
      <c r="B202" s="94"/>
      <c r="C202" s="1"/>
      <c r="D202" s="2" t="s">
        <v>476</v>
      </c>
      <c r="E202" s="2" t="s">
        <v>3993</v>
      </c>
      <c r="G202" s="82" t="s">
        <v>341</v>
      </c>
    </row>
    <row r="203" spans="2:7" s="62" customFormat="1" ht="43.5" outlineLevel="1" x14ac:dyDescent="0.35">
      <c r="B203" s="94"/>
      <c r="C203" s="1"/>
      <c r="D203" s="2" t="s">
        <v>2820</v>
      </c>
      <c r="E203" s="2" t="s">
        <v>1648</v>
      </c>
      <c r="G203" s="82" t="s">
        <v>341</v>
      </c>
    </row>
    <row r="204" spans="2:7" s="62" customFormat="1" ht="29" outlineLevel="1" x14ac:dyDescent="0.35">
      <c r="B204" s="94"/>
      <c r="C204" s="1"/>
      <c r="D204" s="2" t="s">
        <v>474</v>
      </c>
      <c r="E204" s="2" t="s">
        <v>505</v>
      </c>
      <c r="G204" s="82" t="s">
        <v>341</v>
      </c>
    </row>
    <row r="205" spans="2:7" s="62" customFormat="1" ht="43.5" outlineLevel="1" x14ac:dyDescent="0.35">
      <c r="B205" s="94"/>
      <c r="C205" s="1"/>
      <c r="D205" s="2" t="s">
        <v>2821</v>
      </c>
      <c r="E205" s="2" t="s">
        <v>833</v>
      </c>
      <c r="G205" s="82" t="s">
        <v>341</v>
      </c>
    </row>
    <row r="206" spans="2:7" s="62" customFormat="1" outlineLevel="1" x14ac:dyDescent="0.35">
      <c r="B206" s="94"/>
      <c r="C206" s="1"/>
      <c r="D206" s="2" t="s">
        <v>478</v>
      </c>
      <c r="E206" s="2" t="s">
        <v>628</v>
      </c>
      <c r="G206" s="82" t="s">
        <v>341</v>
      </c>
    </row>
    <row r="207" spans="2:7" s="62" customFormat="1" ht="29" outlineLevel="1" x14ac:dyDescent="0.35">
      <c r="B207" s="94"/>
      <c r="C207" s="1"/>
      <c r="D207" s="2" t="s">
        <v>477</v>
      </c>
      <c r="E207" s="2" t="s">
        <v>509</v>
      </c>
      <c r="G207" s="82" t="s">
        <v>341</v>
      </c>
    </row>
    <row r="208" spans="2:7" s="62" customFormat="1" ht="101.5" outlineLevel="1" x14ac:dyDescent="0.35">
      <c r="B208" s="94"/>
      <c r="C208" s="1"/>
      <c r="D208" s="2" t="s">
        <v>475</v>
      </c>
      <c r="E208" s="2" t="s">
        <v>1797</v>
      </c>
      <c r="G208" s="82" t="s">
        <v>341</v>
      </c>
    </row>
    <row r="209" spans="2:7" s="62" customFormat="1" outlineLevel="1" x14ac:dyDescent="0.35">
      <c r="B209" s="94"/>
      <c r="C209" s="1"/>
      <c r="D209" s="2" t="s">
        <v>2891</v>
      </c>
      <c r="E209" s="2" t="s">
        <v>814</v>
      </c>
      <c r="G209" s="82" t="s">
        <v>341</v>
      </c>
    </row>
    <row r="210" spans="2:7" s="62" customFormat="1" ht="43.5" outlineLevel="1" x14ac:dyDescent="0.35">
      <c r="B210" s="94"/>
      <c r="C210" s="1"/>
      <c r="D210" s="2" t="s">
        <v>2826</v>
      </c>
      <c r="E210" s="2" t="s">
        <v>834</v>
      </c>
      <c r="G210" s="82" t="s">
        <v>341</v>
      </c>
    </row>
    <row r="211" spans="2:7" s="62" customFormat="1" outlineLevel="1" x14ac:dyDescent="0.35">
      <c r="B211" s="94"/>
      <c r="C211" s="1"/>
      <c r="D211" s="2" t="s">
        <v>1520</v>
      </c>
      <c r="E211" s="2" t="s">
        <v>629</v>
      </c>
      <c r="G211" s="82" t="s">
        <v>341</v>
      </c>
    </row>
    <row r="212" spans="2:7" x14ac:dyDescent="0.35">
      <c r="B212" s="77"/>
      <c r="C212" s="2"/>
      <c r="D212" s="81" t="s">
        <v>1268</v>
      </c>
      <c r="E212" s="1"/>
      <c r="F212" s="62"/>
      <c r="G212" s="88"/>
    </row>
    <row r="213" spans="2:7" ht="43.5" outlineLevel="1" x14ac:dyDescent="0.35">
      <c r="B213" s="77"/>
      <c r="C213" s="2"/>
      <c r="D213" s="2" t="s">
        <v>815</v>
      </c>
      <c r="E213" s="2" t="s">
        <v>3900</v>
      </c>
      <c r="F213" s="62"/>
      <c r="G213" s="82" t="s">
        <v>341</v>
      </c>
    </row>
    <row r="214" spans="2:7" ht="43.5" outlineLevel="1" x14ac:dyDescent="0.35">
      <c r="B214" s="77"/>
      <c r="C214" s="2"/>
      <c r="D214" s="2" t="s">
        <v>3453</v>
      </c>
      <c r="E214" s="2" t="s">
        <v>3007</v>
      </c>
      <c r="F214" s="62"/>
      <c r="G214" s="82" t="s">
        <v>341</v>
      </c>
    </row>
    <row r="215" spans="2:7" outlineLevel="1" x14ac:dyDescent="0.35">
      <c r="B215" s="77"/>
      <c r="C215" s="2"/>
      <c r="D215" s="2" t="s">
        <v>654</v>
      </c>
      <c r="E215" s="2" t="s">
        <v>1646</v>
      </c>
      <c r="F215" s="62"/>
      <c r="G215" s="82" t="s">
        <v>341</v>
      </c>
    </row>
    <row r="216" spans="2:7" outlineLevel="1" x14ac:dyDescent="0.35">
      <c r="B216" s="77"/>
      <c r="C216" s="2"/>
      <c r="D216" s="2" t="s">
        <v>64</v>
      </c>
      <c r="E216" s="2" t="s">
        <v>236</v>
      </c>
      <c r="F216" s="62"/>
      <c r="G216" s="82" t="s">
        <v>341</v>
      </c>
    </row>
    <row r="217" spans="2:7" ht="43.5" outlineLevel="1" x14ac:dyDescent="0.35">
      <c r="B217" s="77"/>
      <c r="C217" s="2"/>
      <c r="D217" s="2" t="s">
        <v>65</v>
      </c>
      <c r="E217" s="2" t="s">
        <v>630</v>
      </c>
      <c r="F217" s="62"/>
      <c r="G217" s="82" t="s">
        <v>341</v>
      </c>
    </row>
    <row r="218" spans="2:7" x14ac:dyDescent="0.35">
      <c r="B218" s="77"/>
      <c r="C218" s="2"/>
      <c r="D218" s="81" t="s">
        <v>131</v>
      </c>
      <c r="E218" s="1"/>
      <c r="F218" s="62"/>
      <c r="G218" s="88"/>
    </row>
    <row r="219" spans="2:7" outlineLevel="1" x14ac:dyDescent="0.35">
      <c r="B219" s="77"/>
      <c r="C219" s="2"/>
      <c r="D219" s="81" t="s">
        <v>3454</v>
      </c>
      <c r="E219" s="2"/>
      <c r="F219" s="62"/>
      <c r="G219" s="88"/>
    </row>
    <row r="220" spans="2:7" ht="29" outlineLevel="1" x14ac:dyDescent="0.35">
      <c r="B220" s="77"/>
      <c r="C220" s="2"/>
      <c r="D220" s="2" t="s">
        <v>132</v>
      </c>
      <c r="E220" s="2" t="s">
        <v>816</v>
      </c>
      <c r="F220" s="62"/>
      <c r="G220" s="82" t="s">
        <v>341</v>
      </c>
    </row>
    <row r="221" spans="2:7" outlineLevel="1" x14ac:dyDescent="0.35">
      <c r="B221" s="77"/>
      <c r="C221" s="2"/>
      <c r="D221" s="2" t="s">
        <v>133</v>
      </c>
      <c r="E221" s="2" t="s">
        <v>134</v>
      </c>
      <c r="F221" s="62"/>
      <c r="G221" s="82" t="s">
        <v>341</v>
      </c>
    </row>
    <row r="222" spans="2:7" ht="29" outlineLevel="1" x14ac:dyDescent="0.35">
      <c r="B222" s="77"/>
      <c r="C222" s="2"/>
      <c r="D222" s="2" t="s">
        <v>2846</v>
      </c>
      <c r="E222" s="2" t="s">
        <v>508</v>
      </c>
      <c r="F222" s="62"/>
      <c r="G222" s="82" t="s">
        <v>341</v>
      </c>
    </row>
    <row r="223" spans="2:7" ht="19" customHeight="1" outlineLevel="1" x14ac:dyDescent="0.35">
      <c r="B223" s="77"/>
      <c r="C223" s="2"/>
      <c r="D223" s="2" t="s">
        <v>3463</v>
      </c>
      <c r="E223" s="2" t="s">
        <v>817</v>
      </c>
      <c r="F223" s="62"/>
      <c r="G223" s="82" t="s">
        <v>341</v>
      </c>
    </row>
    <row r="224" spans="2:7" ht="43.5" outlineLevel="1" x14ac:dyDescent="0.35">
      <c r="B224" s="77"/>
      <c r="C224" s="2"/>
      <c r="D224" s="2" t="s">
        <v>3455</v>
      </c>
      <c r="E224" s="2" t="s">
        <v>1786</v>
      </c>
      <c r="F224" s="62"/>
      <c r="G224" s="82" t="s">
        <v>341</v>
      </c>
    </row>
    <row r="225" spans="2:7" ht="29" outlineLevel="1" x14ac:dyDescent="0.35">
      <c r="B225" s="77"/>
      <c r="C225" s="2"/>
      <c r="D225" s="2" t="s">
        <v>135</v>
      </c>
      <c r="E225" s="2" t="s">
        <v>818</v>
      </c>
      <c r="F225" s="62"/>
      <c r="G225" s="82" t="s">
        <v>341</v>
      </c>
    </row>
    <row r="226" spans="2:7" ht="29" outlineLevel="1" x14ac:dyDescent="0.35">
      <c r="B226" s="77"/>
      <c r="C226" s="2"/>
      <c r="D226" s="2" t="s">
        <v>136</v>
      </c>
      <c r="E226" s="2" t="s">
        <v>3014</v>
      </c>
      <c r="F226" s="62"/>
      <c r="G226" s="82" t="s">
        <v>341</v>
      </c>
    </row>
    <row r="227" spans="2:7" outlineLevel="1" x14ac:dyDescent="0.35">
      <c r="B227" s="77"/>
      <c r="C227" s="2"/>
      <c r="D227" s="81" t="s">
        <v>3464</v>
      </c>
      <c r="E227" s="2"/>
      <c r="F227" s="62"/>
      <c r="G227" s="88"/>
    </row>
    <row r="228" spans="2:7" outlineLevel="1" x14ac:dyDescent="0.35">
      <c r="B228" s="77"/>
      <c r="C228" s="2"/>
      <c r="D228" s="2" t="s">
        <v>4</v>
      </c>
      <c r="E228" s="2" t="s">
        <v>138</v>
      </c>
      <c r="F228" s="62"/>
      <c r="G228" s="82" t="s">
        <v>341</v>
      </c>
    </row>
    <row r="229" spans="2:7" outlineLevel="1" x14ac:dyDescent="0.35">
      <c r="B229" s="77"/>
      <c r="C229" s="2"/>
      <c r="D229" s="2" t="s">
        <v>5</v>
      </c>
      <c r="E229" s="2" t="s">
        <v>510</v>
      </c>
      <c r="F229" s="62"/>
      <c r="G229" s="82" t="s">
        <v>341</v>
      </c>
    </row>
    <row r="230" spans="2:7" outlineLevel="1" x14ac:dyDescent="0.35">
      <c r="B230" s="77"/>
      <c r="C230" s="2"/>
      <c r="D230" s="2" t="s">
        <v>456</v>
      </c>
      <c r="E230" s="2" t="s">
        <v>137</v>
      </c>
      <c r="F230" s="62"/>
      <c r="G230" s="82" t="s">
        <v>341</v>
      </c>
    </row>
    <row r="231" spans="2:7" outlineLevel="1" x14ac:dyDescent="0.35">
      <c r="B231" s="77"/>
      <c r="C231" s="2"/>
      <c r="D231" s="2" t="s">
        <v>139</v>
      </c>
      <c r="E231" s="2" t="s">
        <v>237</v>
      </c>
      <c r="F231" s="62"/>
      <c r="G231" s="82" t="s">
        <v>341</v>
      </c>
    </row>
    <row r="232" spans="2:7" x14ac:dyDescent="0.35">
      <c r="B232" s="77"/>
      <c r="C232" s="2"/>
      <c r="D232" s="81" t="s">
        <v>3456</v>
      </c>
      <c r="E232" s="2"/>
      <c r="F232" s="62"/>
      <c r="G232" s="88"/>
    </row>
    <row r="233" spans="2:7" outlineLevel="1" x14ac:dyDescent="0.35">
      <c r="B233" s="77"/>
      <c r="C233" s="2"/>
      <c r="D233" s="2" t="s">
        <v>1205</v>
      </c>
      <c r="E233" s="2" t="s">
        <v>631</v>
      </c>
      <c r="F233" s="62"/>
      <c r="G233" s="82" t="s">
        <v>341</v>
      </c>
    </row>
    <row r="234" spans="2:7" outlineLevel="1" x14ac:dyDescent="0.35">
      <c r="B234" s="77"/>
      <c r="C234" s="2"/>
      <c r="D234" s="2" t="s">
        <v>3457</v>
      </c>
      <c r="E234" s="2" t="s">
        <v>632</v>
      </c>
      <c r="F234" s="62"/>
      <c r="G234" s="82" t="s">
        <v>341</v>
      </c>
    </row>
    <row r="235" spans="2:7" outlineLevel="1" x14ac:dyDescent="0.35">
      <c r="B235" s="77"/>
      <c r="C235" s="2"/>
      <c r="D235" s="2" t="s">
        <v>3465</v>
      </c>
      <c r="E235" s="2" t="s">
        <v>580</v>
      </c>
      <c r="F235" s="90"/>
      <c r="G235" s="82" t="s">
        <v>341</v>
      </c>
    </row>
    <row r="236" spans="2:7" ht="58" outlineLevel="1" x14ac:dyDescent="0.35">
      <c r="B236" s="77"/>
      <c r="C236" s="2"/>
      <c r="D236" s="2" t="s">
        <v>3263</v>
      </c>
      <c r="E236" s="2" t="s">
        <v>3264</v>
      </c>
      <c r="F236" s="90"/>
      <c r="G236" s="82" t="s">
        <v>341</v>
      </c>
    </row>
    <row r="237" spans="2:7" ht="29" outlineLevel="1" x14ac:dyDescent="0.35">
      <c r="B237" s="77"/>
      <c r="C237" s="2"/>
      <c r="D237" s="2" t="s">
        <v>1419</v>
      </c>
      <c r="E237" s="2" t="s">
        <v>238</v>
      </c>
      <c r="F237" s="62"/>
      <c r="G237" s="82" t="s">
        <v>341</v>
      </c>
    </row>
    <row r="238" spans="2:7" ht="29" outlineLevel="1" x14ac:dyDescent="0.35">
      <c r="B238" s="77"/>
      <c r="C238" s="2"/>
      <c r="D238" s="2" t="s">
        <v>865</v>
      </c>
      <c r="E238" s="2" t="s">
        <v>581</v>
      </c>
      <c r="F238" s="62"/>
      <c r="G238" s="82" t="s">
        <v>341</v>
      </c>
    </row>
    <row r="239" spans="2:7" ht="29" outlineLevel="1" x14ac:dyDescent="0.35">
      <c r="B239" s="77"/>
      <c r="C239" s="2"/>
      <c r="D239" s="2" t="s">
        <v>140</v>
      </c>
      <c r="E239" s="2" t="s">
        <v>3032</v>
      </c>
      <c r="F239" s="62"/>
      <c r="G239" s="82" t="s">
        <v>341</v>
      </c>
    </row>
    <row r="240" spans="2:7" ht="29" outlineLevel="1" x14ac:dyDescent="0.35">
      <c r="B240" s="77"/>
      <c r="C240" s="2"/>
      <c r="D240" s="2" t="s">
        <v>2823</v>
      </c>
      <c r="E240" s="2" t="s">
        <v>819</v>
      </c>
      <c r="F240" s="62"/>
      <c r="G240" s="82" t="s">
        <v>341</v>
      </c>
    </row>
    <row r="241" spans="2:7" x14ac:dyDescent="0.35">
      <c r="B241" s="77"/>
      <c r="C241" s="2"/>
      <c r="D241" s="81" t="s">
        <v>507</v>
      </c>
      <c r="E241" s="2"/>
      <c r="F241" s="62"/>
      <c r="G241" s="88"/>
    </row>
    <row r="242" spans="2:7" outlineLevel="1" x14ac:dyDescent="0.35">
      <c r="B242" s="77"/>
      <c r="C242" s="2"/>
      <c r="D242" s="2" t="s">
        <v>506</v>
      </c>
      <c r="E242" s="2" t="s">
        <v>727</v>
      </c>
      <c r="F242" s="62"/>
      <c r="G242" s="82" t="s">
        <v>341</v>
      </c>
    </row>
    <row r="243" spans="2:7" x14ac:dyDescent="0.35">
      <c r="B243" s="77"/>
      <c r="C243" s="2"/>
      <c r="D243" s="81" t="s">
        <v>1954</v>
      </c>
      <c r="E243" s="2"/>
      <c r="F243" s="62"/>
      <c r="G243" s="88"/>
    </row>
    <row r="244" spans="2:7" outlineLevel="1" x14ac:dyDescent="0.35">
      <c r="B244" s="77"/>
      <c r="C244" s="2"/>
      <c r="D244" s="81" t="s">
        <v>1955</v>
      </c>
      <c r="E244" s="2"/>
      <c r="F244" s="62"/>
      <c r="G244" s="88"/>
    </row>
    <row r="245" spans="2:7" ht="87" customHeight="1" outlineLevel="1" x14ac:dyDescent="0.35">
      <c r="B245" s="77"/>
      <c r="C245" s="2"/>
      <c r="D245" s="2" t="s">
        <v>2180</v>
      </c>
      <c r="E245" s="2" t="s">
        <v>2190</v>
      </c>
      <c r="F245" s="62"/>
      <c r="G245" s="82" t="s">
        <v>341</v>
      </c>
    </row>
    <row r="246" spans="2:7" ht="72.5" outlineLevel="1" x14ac:dyDescent="0.35">
      <c r="B246" s="77"/>
      <c r="C246" s="2"/>
      <c r="D246" s="2" t="s">
        <v>2181</v>
      </c>
      <c r="E246" s="2" t="s">
        <v>4219</v>
      </c>
      <c r="F246" s="62"/>
      <c r="G246" s="82" t="s">
        <v>341</v>
      </c>
    </row>
    <row r="247" spans="2:7" ht="58" outlineLevel="1" x14ac:dyDescent="0.35">
      <c r="B247" s="77"/>
      <c r="C247" s="2"/>
      <c r="D247" s="2" t="s">
        <v>1956</v>
      </c>
      <c r="E247" s="2" t="s">
        <v>2680</v>
      </c>
      <c r="F247" s="62"/>
      <c r="G247" s="82" t="s">
        <v>341</v>
      </c>
    </row>
    <row r="248" spans="2:7" outlineLevel="1" x14ac:dyDescent="0.35">
      <c r="B248" s="77"/>
      <c r="C248" s="2"/>
      <c r="D248" s="81" t="s">
        <v>1957</v>
      </c>
      <c r="E248" s="2"/>
      <c r="F248" s="62"/>
      <c r="G248" s="88"/>
    </row>
    <row r="249" spans="2:7" ht="72.5" outlineLevel="1" x14ac:dyDescent="0.35">
      <c r="B249" s="77"/>
      <c r="C249" s="2"/>
      <c r="D249" s="2" t="s">
        <v>2183</v>
      </c>
      <c r="E249" s="2" t="s">
        <v>3889</v>
      </c>
      <c r="F249" s="62"/>
      <c r="G249" s="82" t="s">
        <v>341</v>
      </c>
    </row>
    <row r="250" spans="2:7" ht="58" outlineLevel="1" x14ac:dyDescent="0.35">
      <c r="B250" s="77"/>
      <c r="C250" s="2"/>
      <c r="D250" s="2" t="s">
        <v>2185</v>
      </c>
      <c r="E250" s="2" t="s">
        <v>2681</v>
      </c>
      <c r="F250" s="62"/>
      <c r="G250" s="82" t="s">
        <v>341</v>
      </c>
    </row>
    <row r="251" spans="2:7" ht="116" outlineLevel="1" x14ac:dyDescent="0.35">
      <c r="B251" s="77"/>
      <c r="C251" s="2"/>
      <c r="D251" s="2" t="s">
        <v>2182</v>
      </c>
      <c r="E251" s="2" t="s">
        <v>4203</v>
      </c>
      <c r="F251" s="62"/>
      <c r="G251" s="82" t="s">
        <v>341</v>
      </c>
    </row>
    <row r="252" spans="2:7" ht="116" outlineLevel="1" x14ac:dyDescent="0.35">
      <c r="B252" s="77"/>
      <c r="C252" s="2"/>
      <c r="D252" s="2" t="s">
        <v>2112</v>
      </c>
      <c r="E252" s="2" t="s">
        <v>4205</v>
      </c>
      <c r="F252" s="62"/>
      <c r="G252" s="82" t="s">
        <v>341</v>
      </c>
    </row>
    <row r="253" spans="2:7" ht="29" outlineLevel="1" x14ac:dyDescent="0.35">
      <c r="B253" s="77"/>
      <c r="C253" s="2"/>
      <c r="D253" s="2" t="s">
        <v>4816</v>
      </c>
      <c r="E253" s="2" t="s">
        <v>4817</v>
      </c>
      <c r="F253" s="62"/>
      <c r="G253" s="82" t="s">
        <v>341</v>
      </c>
    </row>
    <row r="254" spans="2:7" ht="29" outlineLevel="1" x14ac:dyDescent="0.35">
      <c r="B254" s="77"/>
      <c r="C254" s="2"/>
      <c r="D254" s="2" t="s">
        <v>5136</v>
      </c>
      <c r="E254" s="2" t="s">
        <v>4904</v>
      </c>
      <c r="F254" s="62"/>
      <c r="G254" s="82" t="s">
        <v>341</v>
      </c>
    </row>
    <row r="255" spans="2:7" ht="72.5" outlineLevel="1" x14ac:dyDescent="0.35">
      <c r="B255" s="77"/>
      <c r="C255" s="2"/>
      <c r="D255" s="2" t="s">
        <v>2626</v>
      </c>
      <c r="E255" s="2" t="s">
        <v>2627</v>
      </c>
      <c r="F255" s="62"/>
      <c r="G255" s="82" t="s">
        <v>341</v>
      </c>
    </row>
    <row r="256" spans="2:7" ht="72.5" outlineLevel="1" x14ac:dyDescent="0.35">
      <c r="B256" s="77"/>
      <c r="C256" s="2"/>
      <c r="D256" s="2" t="s">
        <v>3466</v>
      </c>
      <c r="E256" s="2" t="s">
        <v>2693</v>
      </c>
      <c r="F256" s="62"/>
      <c r="G256" s="82" t="s">
        <v>341</v>
      </c>
    </row>
    <row r="257" spans="2:7" outlineLevel="1" x14ac:dyDescent="0.35">
      <c r="B257" s="77"/>
      <c r="C257" s="2"/>
      <c r="D257" s="81" t="s">
        <v>2295</v>
      </c>
      <c r="E257" s="88"/>
      <c r="F257" s="62"/>
      <c r="G257" s="88"/>
    </row>
    <row r="258" spans="2:7" ht="101.5" outlineLevel="1" x14ac:dyDescent="0.35">
      <c r="B258" s="77"/>
      <c r="C258" s="2"/>
      <c r="D258" s="2" t="s">
        <v>2296</v>
      </c>
      <c r="E258" s="2" t="s">
        <v>2955</v>
      </c>
      <c r="F258" s="62"/>
      <c r="G258" s="82" t="s">
        <v>341</v>
      </c>
    </row>
    <row r="259" spans="2:7" ht="72.5" outlineLevel="1" x14ac:dyDescent="0.35">
      <c r="B259" s="77"/>
      <c r="C259" s="2"/>
      <c r="D259" s="2" t="s">
        <v>3467</v>
      </c>
      <c r="E259" s="2" t="s">
        <v>2694</v>
      </c>
      <c r="F259" s="62"/>
      <c r="G259" s="82" t="s">
        <v>341</v>
      </c>
    </row>
    <row r="260" spans="2:7" ht="87" outlineLevel="1" x14ac:dyDescent="0.35">
      <c r="B260" s="77"/>
      <c r="C260" s="2"/>
      <c r="D260" s="2" t="s">
        <v>2628</v>
      </c>
      <c r="E260" s="2" t="s">
        <v>4012</v>
      </c>
      <c r="F260" s="62"/>
      <c r="G260" s="82" t="s">
        <v>341</v>
      </c>
    </row>
    <row r="261" spans="2:7" ht="58" outlineLevel="1" x14ac:dyDescent="0.35">
      <c r="B261" s="77"/>
      <c r="C261" s="2"/>
      <c r="D261" s="2" t="s">
        <v>2184</v>
      </c>
      <c r="E261" s="2" t="s">
        <v>2113</v>
      </c>
      <c r="F261" s="62"/>
      <c r="G261" s="82" t="s">
        <v>341</v>
      </c>
    </row>
    <row r="262" spans="2:7" ht="72.5" outlineLevel="1" x14ac:dyDescent="0.35">
      <c r="B262" s="77"/>
      <c r="C262" s="2"/>
      <c r="D262" s="2" t="s">
        <v>2186</v>
      </c>
      <c r="E262" s="2" t="s">
        <v>2114</v>
      </c>
      <c r="F262" s="62"/>
      <c r="G262" s="82" t="s">
        <v>341</v>
      </c>
    </row>
    <row r="263" spans="2:7" ht="43.5" outlineLevel="1" x14ac:dyDescent="0.35">
      <c r="B263" s="77"/>
      <c r="C263" s="2"/>
      <c r="D263" s="2" t="s">
        <v>5134</v>
      </c>
      <c r="E263" s="2" t="s">
        <v>5135</v>
      </c>
      <c r="F263" s="62"/>
      <c r="G263" s="179" t="s">
        <v>341</v>
      </c>
    </row>
    <row r="264" spans="2:7" outlineLevel="1" x14ac:dyDescent="0.35">
      <c r="B264" s="77"/>
      <c r="C264" s="2"/>
      <c r="D264" s="81" t="s">
        <v>3210</v>
      </c>
      <c r="E264" s="88"/>
      <c r="F264" s="62"/>
      <c r="G264" s="88"/>
    </row>
    <row r="265" spans="2:7" ht="29" outlineLevel="1" x14ac:dyDescent="0.35">
      <c r="B265" s="77"/>
      <c r="C265" s="2"/>
      <c r="D265" s="2" t="s">
        <v>3211</v>
      </c>
      <c r="E265" s="2" t="s">
        <v>3214</v>
      </c>
      <c r="F265" s="62"/>
      <c r="G265" s="82" t="s">
        <v>341</v>
      </c>
    </row>
    <row r="266" spans="2:7" ht="72.5" outlineLevel="1" x14ac:dyDescent="0.35">
      <c r="B266" s="77"/>
      <c r="C266" s="2"/>
      <c r="D266" s="2" t="s">
        <v>3212</v>
      </c>
      <c r="E266" s="2" t="s">
        <v>3215</v>
      </c>
      <c r="F266" s="62"/>
      <c r="G266" s="82" t="s">
        <v>341</v>
      </c>
    </row>
    <row r="267" spans="2:7" ht="29" outlineLevel="1" x14ac:dyDescent="0.35">
      <c r="B267" s="77"/>
      <c r="C267" s="2"/>
      <c r="D267" s="2" t="s">
        <v>3213</v>
      </c>
      <c r="E267" s="2" t="s">
        <v>3216</v>
      </c>
      <c r="F267" s="62"/>
      <c r="G267" s="82" t="s">
        <v>341</v>
      </c>
    </row>
    <row r="268" spans="2:7" ht="72.5" outlineLevel="1" x14ac:dyDescent="0.35">
      <c r="B268" s="77"/>
      <c r="C268" s="2"/>
      <c r="D268" s="2" t="s">
        <v>3266</v>
      </c>
      <c r="E268" s="2" t="s">
        <v>4001</v>
      </c>
      <c r="F268" s="62"/>
      <c r="G268" s="82" t="s">
        <v>341</v>
      </c>
    </row>
    <row r="269" spans="2:7" ht="72.5" outlineLevel="1" x14ac:dyDescent="0.35">
      <c r="B269" s="77"/>
      <c r="C269" s="2"/>
      <c r="D269" s="2" t="s">
        <v>3265</v>
      </c>
      <c r="E269" s="2" t="s">
        <v>3267</v>
      </c>
      <c r="F269" s="62"/>
      <c r="G269" s="82" t="s">
        <v>341</v>
      </c>
    </row>
    <row r="270" spans="2:7" x14ac:dyDescent="0.35">
      <c r="B270" s="77"/>
      <c r="C270" s="2"/>
      <c r="D270" s="81" t="s">
        <v>4108</v>
      </c>
      <c r="E270" s="2"/>
      <c r="F270" s="62"/>
      <c r="G270" s="88"/>
    </row>
    <row r="271" spans="2:7" ht="72.5" outlineLevel="1" x14ac:dyDescent="0.35">
      <c r="B271" s="77"/>
      <c r="C271" s="2"/>
      <c r="D271" s="2" t="s">
        <v>4102</v>
      </c>
      <c r="E271" s="2" t="s">
        <v>4199</v>
      </c>
      <c r="F271" s="62"/>
      <c r="G271" s="82" t="s">
        <v>341</v>
      </c>
    </row>
    <row r="272" spans="2:7" ht="58" outlineLevel="1" x14ac:dyDescent="0.35">
      <c r="B272" s="77"/>
      <c r="C272" s="2"/>
      <c r="D272" s="2" t="s">
        <v>4103</v>
      </c>
      <c r="E272" s="87" t="s">
        <v>4198</v>
      </c>
      <c r="F272" s="62"/>
      <c r="G272" s="82" t="s">
        <v>341</v>
      </c>
    </row>
    <row r="273" spans="2:8" ht="72.5" outlineLevel="1" x14ac:dyDescent="0.35">
      <c r="B273" s="77"/>
      <c r="C273" s="2"/>
      <c r="D273" s="2" t="s">
        <v>4104</v>
      </c>
      <c r="E273" s="2" t="s">
        <v>4200</v>
      </c>
      <c r="F273" s="62"/>
      <c r="G273" s="82" t="s">
        <v>341</v>
      </c>
    </row>
    <row r="274" spans="2:8" ht="58" outlineLevel="1" x14ac:dyDescent="0.35">
      <c r="B274" s="77"/>
      <c r="C274" s="2"/>
      <c r="D274" s="2" t="s">
        <v>4819</v>
      </c>
      <c r="E274" s="2" t="s">
        <v>4818</v>
      </c>
      <c r="F274" s="62"/>
      <c r="G274" s="82" t="s">
        <v>341</v>
      </c>
    </row>
    <row r="275" spans="2:8" ht="58" outlineLevel="1" x14ac:dyDescent="0.35">
      <c r="B275" s="77"/>
      <c r="C275" s="2"/>
      <c r="D275" s="2" t="s">
        <v>4105</v>
      </c>
      <c r="E275" s="2" t="s">
        <v>4209</v>
      </c>
      <c r="F275" s="62"/>
      <c r="G275" s="82" t="s">
        <v>341</v>
      </c>
    </row>
    <row r="276" spans="2:8" x14ac:dyDescent="0.35">
      <c r="B276" s="77"/>
      <c r="C276" s="2"/>
      <c r="D276" s="81" t="s">
        <v>4107</v>
      </c>
      <c r="E276" s="2"/>
      <c r="F276" s="62"/>
      <c r="G276" s="88"/>
    </row>
    <row r="277" spans="2:8" ht="43.5" outlineLevel="1" x14ac:dyDescent="0.35">
      <c r="B277" s="77"/>
      <c r="C277" s="2"/>
      <c r="D277" s="2" t="s">
        <v>4106</v>
      </c>
      <c r="E277" s="2" t="s">
        <v>4204</v>
      </c>
      <c r="F277" s="62"/>
      <c r="G277" s="82" t="s">
        <v>341</v>
      </c>
    </row>
    <row r="278" spans="2:8" x14ac:dyDescent="0.35">
      <c r="B278" s="77"/>
      <c r="C278" s="77" t="s">
        <v>3470</v>
      </c>
      <c r="D278" s="2"/>
      <c r="E278" s="2"/>
      <c r="F278" s="62"/>
      <c r="G278" s="80">
        <f>COUNTIF(G280:G288,"Yes")</f>
        <v>7</v>
      </c>
      <c r="H278" s="74"/>
    </row>
    <row r="279" spans="2:8" x14ac:dyDescent="0.35">
      <c r="B279" s="77"/>
      <c r="C279" s="2"/>
      <c r="D279" s="81" t="s">
        <v>141</v>
      </c>
      <c r="E279" s="2"/>
      <c r="F279" s="62"/>
      <c r="G279" s="88"/>
    </row>
    <row r="280" spans="2:8" ht="43.5" outlineLevel="1" x14ac:dyDescent="0.35">
      <c r="B280" s="77"/>
      <c r="C280" s="2"/>
      <c r="D280" s="2" t="s">
        <v>2819</v>
      </c>
      <c r="E280" s="2" t="s">
        <v>1208</v>
      </c>
      <c r="F280" s="62"/>
      <c r="G280" s="82" t="s">
        <v>341</v>
      </c>
    </row>
    <row r="281" spans="2:8" ht="29" outlineLevel="1" x14ac:dyDescent="0.35">
      <c r="B281" s="77"/>
      <c r="C281" s="2"/>
      <c r="D281" s="2" t="s">
        <v>847</v>
      </c>
      <c r="E281" s="2" t="s">
        <v>670</v>
      </c>
      <c r="F281" s="62"/>
      <c r="G281" s="82" t="s">
        <v>341</v>
      </c>
    </row>
    <row r="282" spans="2:8" x14ac:dyDescent="0.35">
      <c r="B282" s="77"/>
      <c r="C282" s="2"/>
      <c r="D282" s="81" t="s">
        <v>671</v>
      </c>
      <c r="E282" s="2"/>
      <c r="F282" s="62"/>
      <c r="G282" s="88"/>
    </row>
    <row r="283" spans="2:8" ht="58" outlineLevel="1" x14ac:dyDescent="0.35">
      <c r="B283" s="77"/>
      <c r="C283" s="2"/>
      <c r="D283" s="2" t="s">
        <v>2851</v>
      </c>
      <c r="E283" s="2" t="s">
        <v>3999</v>
      </c>
      <c r="F283" s="62"/>
      <c r="G283" s="82" t="s">
        <v>341</v>
      </c>
    </row>
    <row r="284" spans="2:8" ht="29" outlineLevel="1" x14ac:dyDescent="0.35">
      <c r="B284" s="77"/>
      <c r="C284" s="2"/>
      <c r="D284" s="2" t="s">
        <v>2958</v>
      </c>
      <c r="E284" s="2" t="s">
        <v>1452</v>
      </c>
      <c r="F284" s="62"/>
      <c r="G284" s="82" t="s">
        <v>341</v>
      </c>
    </row>
    <row r="285" spans="2:8" ht="29" outlineLevel="1" x14ac:dyDescent="0.35">
      <c r="B285" s="77"/>
      <c r="C285" s="2"/>
      <c r="D285" s="2" t="s">
        <v>2822</v>
      </c>
      <c r="E285" s="2" t="s">
        <v>820</v>
      </c>
      <c r="F285" s="62"/>
      <c r="G285" s="82" t="s">
        <v>341</v>
      </c>
    </row>
    <row r="286" spans="2:8" x14ac:dyDescent="0.35">
      <c r="B286" s="77"/>
      <c r="C286" s="2"/>
      <c r="D286" s="81" t="s">
        <v>142</v>
      </c>
      <c r="E286" s="2"/>
      <c r="F286" s="62"/>
      <c r="G286" s="88"/>
    </row>
    <row r="287" spans="2:8" ht="72.5" outlineLevel="1" x14ac:dyDescent="0.35">
      <c r="B287" s="77"/>
      <c r="C287" s="2"/>
      <c r="D287" s="2" t="s">
        <v>821</v>
      </c>
      <c r="E287" s="2" t="s">
        <v>1206</v>
      </c>
      <c r="F287" s="62"/>
      <c r="G287" s="82" t="s">
        <v>341</v>
      </c>
    </row>
    <row r="288" spans="2:8" ht="29" outlineLevel="1" x14ac:dyDescent="0.35">
      <c r="B288" s="77"/>
      <c r="C288" s="2"/>
      <c r="D288" s="2" t="s">
        <v>822</v>
      </c>
      <c r="E288" s="2" t="s">
        <v>1209</v>
      </c>
      <c r="F288" s="62"/>
      <c r="G288" s="82" t="s">
        <v>341</v>
      </c>
    </row>
    <row r="289" spans="2:8" x14ac:dyDescent="0.35">
      <c r="B289" s="77"/>
      <c r="C289" s="77" t="s">
        <v>5237</v>
      </c>
      <c r="D289" s="2"/>
      <c r="E289" s="2"/>
      <c r="F289" s="62"/>
      <c r="G289" s="80">
        <f>COUNTIF(G291:G302,"Yes")</f>
        <v>8</v>
      </c>
      <c r="H289" s="74"/>
    </row>
    <row r="290" spans="2:8" x14ac:dyDescent="0.35">
      <c r="B290" s="77"/>
      <c r="C290" s="2"/>
      <c r="D290" s="81" t="s">
        <v>5238</v>
      </c>
      <c r="E290" s="2"/>
      <c r="F290" s="62"/>
      <c r="G290" s="88"/>
    </row>
    <row r="291" spans="2:8" outlineLevel="1" x14ac:dyDescent="0.35">
      <c r="B291" s="77"/>
      <c r="C291" s="2"/>
      <c r="D291" s="2" t="s">
        <v>5240</v>
      </c>
      <c r="E291" s="2" t="s">
        <v>5245</v>
      </c>
      <c r="F291" s="62"/>
      <c r="G291" s="82" t="s">
        <v>341</v>
      </c>
    </row>
    <row r="292" spans="2:8" ht="29" outlineLevel="1" x14ac:dyDescent="0.35">
      <c r="B292" s="77"/>
      <c r="C292" s="2"/>
      <c r="D292" s="2" t="s">
        <v>5241</v>
      </c>
      <c r="E292" s="2" t="s">
        <v>5246</v>
      </c>
      <c r="F292" s="62"/>
      <c r="G292" s="82" t="s">
        <v>341</v>
      </c>
    </row>
    <row r="293" spans="2:8" ht="29" outlineLevel="1" x14ac:dyDescent="0.35">
      <c r="B293" s="77"/>
      <c r="C293" s="2"/>
      <c r="D293" s="2" t="s">
        <v>5242</v>
      </c>
      <c r="E293" s="2" t="s">
        <v>5247</v>
      </c>
      <c r="F293" s="62"/>
      <c r="G293" s="82" t="s">
        <v>341</v>
      </c>
    </row>
    <row r="294" spans="2:8" ht="29" outlineLevel="1" x14ac:dyDescent="0.35">
      <c r="B294" s="77"/>
      <c r="C294" s="2"/>
      <c r="D294" s="2" t="s">
        <v>5243</v>
      </c>
      <c r="E294" s="2" t="s">
        <v>5248</v>
      </c>
      <c r="F294" s="62"/>
      <c r="G294" s="82" t="s">
        <v>341</v>
      </c>
    </row>
    <row r="295" spans="2:8" outlineLevel="1" x14ac:dyDescent="0.35">
      <c r="B295" s="77"/>
      <c r="C295" s="2"/>
      <c r="D295" s="2" t="s">
        <v>5244</v>
      </c>
      <c r="E295" s="2" t="s">
        <v>5249</v>
      </c>
      <c r="F295" s="62"/>
      <c r="G295" s="82" t="s">
        <v>341</v>
      </c>
    </row>
    <row r="296" spans="2:8" x14ac:dyDescent="0.35">
      <c r="B296" s="77"/>
      <c r="C296" s="2"/>
      <c r="D296" s="81" t="s">
        <v>5239</v>
      </c>
      <c r="E296" s="2"/>
      <c r="F296" s="62"/>
      <c r="G296" s="88"/>
    </row>
    <row r="297" spans="2:8" outlineLevel="1" x14ac:dyDescent="0.35">
      <c r="B297" s="77"/>
      <c r="C297" s="2"/>
      <c r="D297" s="2" t="s">
        <v>5250</v>
      </c>
      <c r="E297" s="2" t="s">
        <v>5253</v>
      </c>
      <c r="F297" s="62"/>
      <c r="G297" s="82" t="s">
        <v>341</v>
      </c>
    </row>
    <row r="298" spans="2:8" ht="29" outlineLevel="1" x14ac:dyDescent="0.35">
      <c r="B298" s="77"/>
      <c r="C298" s="2"/>
      <c r="D298" s="2" t="s">
        <v>5251</v>
      </c>
      <c r="E298" s="2" t="s">
        <v>5254</v>
      </c>
      <c r="F298" s="62"/>
      <c r="G298" s="82" t="s">
        <v>341</v>
      </c>
    </row>
    <row r="299" spans="2:8" ht="29" outlineLevel="1" x14ac:dyDescent="0.35">
      <c r="B299" s="77"/>
      <c r="C299" s="2"/>
      <c r="D299" s="2" t="s">
        <v>5252</v>
      </c>
      <c r="E299" s="2" t="s">
        <v>5255</v>
      </c>
      <c r="F299" s="62"/>
      <c r="G299" s="82" t="s">
        <v>341</v>
      </c>
    </row>
  </sheetData>
  <sortState xmlns:xlrd2="http://schemas.microsoft.com/office/spreadsheetml/2017/richdata2" ref="D12:E19">
    <sortCondition ref="D11"/>
  </sortState>
  <mergeCells count="3">
    <mergeCell ref="B6:E6"/>
    <mergeCell ref="B2:B4"/>
    <mergeCell ref="G3:G4"/>
  </mergeCells>
  <dataValidations count="1">
    <dataValidation type="list" allowBlank="1" showInputMessage="1" showErrorMessage="1" sqref="G189 G191:G192 G24:G36 G228:G231 G220:G226 G115:G119 G121:G126 G128:G130 G148:G150 G185:G186 G98:G113 G21:G22 G287:G288 G77:G96 G53:G59 G280:G281 G283:G285 G194:G211 G141:G146 G169:G171 G61:G74 G39:G42 G44:G46 G48:G51 G233:G240 G242 G245:G247 G173:G174 G176:G177 G179:G180 G182:G183 G11:G19 G249:G256 G213:G217 G163:G167 G153:G161 G133:G139 G258:G263 G265:G269 G271:G275 G277 G297:G299 G291:G295" xr:uid="{00000000-0002-0000-0400-000000000000}">
      <formula1>"Yes, No"</formula1>
    </dataValidation>
  </dataValidation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293276"/>
  </sheetPr>
  <dimension ref="B1:H635"/>
  <sheetViews>
    <sheetView showGridLines="0" topLeftCell="B1" zoomScale="80" zoomScaleNormal="80" workbookViewId="0">
      <selection activeCell="C2" sqref="C2"/>
    </sheetView>
  </sheetViews>
  <sheetFormatPr defaultColWidth="9.1796875" defaultRowHeight="14.5" outlineLevelRow="1" x14ac:dyDescent="0.35"/>
  <cols>
    <col min="1" max="1" width="2.1796875" style="79" customWidth="1"/>
    <col min="2" max="2" width="30.6328125" style="79" customWidth="1"/>
    <col min="3" max="3" width="30.6328125" style="96" customWidth="1"/>
    <col min="4" max="4" width="50.6328125" style="96" customWidth="1"/>
    <col min="5" max="5" width="76.6328125" style="79" customWidth="1"/>
    <col min="6" max="6" width="2.1796875" style="79" customWidth="1"/>
    <col min="7" max="7" width="9.1796875" style="98"/>
    <col min="8" max="16384" width="9.1796875" style="79"/>
  </cols>
  <sheetData>
    <row r="1" spans="2:7" s="58" customFormat="1" ht="21" x14ac:dyDescent="0.5">
      <c r="B1" s="61"/>
      <c r="C1" s="69"/>
      <c r="D1" s="99"/>
      <c r="E1" s="100"/>
      <c r="G1" s="9"/>
    </row>
    <row r="2" spans="2:7" s="58" customFormat="1" x14ac:dyDescent="0.35">
      <c r="B2" s="194"/>
      <c r="C2" s="153"/>
      <c r="D2" s="154" t="s">
        <v>41</v>
      </c>
      <c r="E2" s="101" t="s">
        <v>56</v>
      </c>
      <c r="G2" s="14" t="s">
        <v>342</v>
      </c>
    </row>
    <row r="3" spans="2:7" s="58" customFormat="1" x14ac:dyDescent="0.35">
      <c r="B3" s="194"/>
      <c r="C3" s="153"/>
      <c r="D3" s="154" t="s">
        <v>226</v>
      </c>
      <c r="E3" s="11">
        <f>COUNTIF(E8:E635,"*")</f>
        <v>496</v>
      </c>
      <c r="G3" s="185">
        <f>COUNTIF(G8:G636,"Yes")</f>
        <v>496</v>
      </c>
    </row>
    <row r="4" spans="2:7" s="58" customFormat="1" x14ac:dyDescent="0.35">
      <c r="B4" s="194"/>
      <c r="C4" s="153"/>
      <c r="D4" s="154" t="s">
        <v>79</v>
      </c>
      <c r="E4" s="15" t="str">
        <f>'(2) Corporate Banking Processes'!E4</f>
        <v>R25 Model Bank</v>
      </c>
      <c r="G4" s="186"/>
    </row>
    <row r="5" spans="2:7" s="58" customFormat="1" ht="18.5" x14ac:dyDescent="0.35">
      <c r="B5" s="149"/>
      <c r="C5" s="149"/>
      <c r="D5" s="72"/>
      <c r="E5" s="73"/>
      <c r="G5" s="9"/>
    </row>
    <row r="6" spans="2:7" s="58" customFormat="1" x14ac:dyDescent="0.35">
      <c r="B6" s="191"/>
      <c r="C6" s="192"/>
      <c r="D6" s="192"/>
      <c r="E6" s="192"/>
      <c r="G6" s="18" t="s">
        <v>340</v>
      </c>
    </row>
    <row r="7" spans="2:7" s="58" customFormat="1" x14ac:dyDescent="0.35">
      <c r="B7" s="75" t="s">
        <v>83</v>
      </c>
      <c r="C7" s="75" t="s">
        <v>86</v>
      </c>
      <c r="D7" s="75" t="s">
        <v>87</v>
      </c>
      <c r="E7" s="75" t="s">
        <v>54</v>
      </c>
      <c r="G7" s="76" t="s">
        <v>342</v>
      </c>
    </row>
    <row r="8" spans="2:7" x14ac:dyDescent="0.35">
      <c r="B8" s="84" t="s">
        <v>56</v>
      </c>
      <c r="C8" s="84"/>
      <c r="D8" s="85"/>
      <c r="E8" s="85"/>
      <c r="G8" s="29"/>
    </row>
    <row r="9" spans="2:7" x14ac:dyDescent="0.35">
      <c r="B9" s="84"/>
      <c r="C9" s="84" t="s">
        <v>81</v>
      </c>
      <c r="D9" s="85"/>
      <c r="E9" s="85"/>
      <c r="F9" s="62"/>
      <c r="G9" s="102">
        <f>COUNTIF(G10:G73,"Yes")</f>
        <v>50</v>
      </c>
    </row>
    <row r="10" spans="2:7" x14ac:dyDescent="0.35">
      <c r="B10" s="84"/>
      <c r="C10" s="85"/>
      <c r="D10" s="4" t="s">
        <v>1308</v>
      </c>
      <c r="E10" s="85"/>
      <c r="F10" s="62"/>
      <c r="G10" s="103"/>
    </row>
    <row r="11" spans="2:7" ht="29" outlineLevel="1" x14ac:dyDescent="0.35">
      <c r="B11" s="84"/>
      <c r="C11" s="85"/>
      <c r="D11" s="104" t="s">
        <v>433</v>
      </c>
      <c r="E11" s="104" t="s">
        <v>434</v>
      </c>
      <c r="F11" s="62"/>
      <c r="G11" s="26" t="s">
        <v>341</v>
      </c>
    </row>
    <row r="12" spans="2:7" ht="43.5" outlineLevel="1" x14ac:dyDescent="0.35">
      <c r="B12" s="84"/>
      <c r="C12" s="85"/>
      <c r="D12" s="104" t="s">
        <v>435</v>
      </c>
      <c r="E12" s="104" t="s">
        <v>4000</v>
      </c>
      <c r="F12" s="62"/>
      <c r="G12" s="26" t="s">
        <v>341</v>
      </c>
    </row>
    <row r="13" spans="2:7" ht="72.5" outlineLevel="1" x14ac:dyDescent="0.35">
      <c r="B13" s="84"/>
      <c r="C13" s="85"/>
      <c r="D13" s="104" t="s">
        <v>436</v>
      </c>
      <c r="E13" s="104" t="s">
        <v>897</v>
      </c>
      <c r="F13" s="62"/>
      <c r="G13" s="26" t="s">
        <v>341</v>
      </c>
    </row>
    <row r="14" spans="2:7" ht="29" outlineLevel="1" x14ac:dyDescent="0.35">
      <c r="B14" s="85"/>
      <c r="C14" s="85"/>
      <c r="D14" s="104" t="s">
        <v>1430</v>
      </c>
      <c r="E14" s="104" t="s">
        <v>1553</v>
      </c>
      <c r="F14" s="62"/>
      <c r="G14" s="26" t="s">
        <v>341</v>
      </c>
    </row>
    <row r="15" spans="2:7" ht="43.5" outlineLevel="1" x14ac:dyDescent="0.35">
      <c r="B15" s="84"/>
      <c r="C15" s="85"/>
      <c r="D15" s="104" t="s">
        <v>437</v>
      </c>
      <c r="E15" s="104" t="s">
        <v>1461</v>
      </c>
      <c r="F15" s="62"/>
      <c r="G15" s="26" t="s">
        <v>341</v>
      </c>
    </row>
    <row r="16" spans="2:7" ht="29" outlineLevel="1" x14ac:dyDescent="0.35">
      <c r="B16" s="85"/>
      <c r="C16" s="85"/>
      <c r="D16" s="104" t="s">
        <v>1437</v>
      </c>
      <c r="E16" s="104" t="s">
        <v>1463</v>
      </c>
      <c r="F16" s="62"/>
      <c r="G16" s="26" t="s">
        <v>341</v>
      </c>
    </row>
    <row r="17" spans="2:7" ht="43.5" outlineLevel="1" x14ac:dyDescent="0.35">
      <c r="B17" s="85"/>
      <c r="C17" s="85"/>
      <c r="D17" s="104" t="s">
        <v>1435</v>
      </c>
      <c r="E17" s="104" t="s">
        <v>1554</v>
      </c>
      <c r="F17" s="62"/>
      <c r="G17" s="26" t="s">
        <v>341</v>
      </c>
    </row>
    <row r="18" spans="2:7" ht="43.5" outlineLevel="1" x14ac:dyDescent="0.35">
      <c r="B18" s="84"/>
      <c r="C18" s="85"/>
      <c r="D18" s="104" t="s">
        <v>438</v>
      </c>
      <c r="E18" s="104" t="s">
        <v>655</v>
      </c>
      <c r="F18" s="62"/>
      <c r="G18" s="26" t="s">
        <v>341</v>
      </c>
    </row>
    <row r="19" spans="2:7" ht="43.5" outlineLevel="1" x14ac:dyDescent="0.35">
      <c r="B19" s="84"/>
      <c r="C19" s="85"/>
      <c r="D19" s="104" t="s">
        <v>439</v>
      </c>
      <c r="E19" s="104" t="s">
        <v>656</v>
      </c>
      <c r="F19" s="62"/>
      <c r="G19" s="26" t="s">
        <v>341</v>
      </c>
    </row>
    <row r="20" spans="2:7" ht="43.5" outlineLevel="1" x14ac:dyDescent="0.35">
      <c r="B20" s="84"/>
      <c r="C20" s="85"/>
      <c r="D20" s="104" t="s">
        <v>440</v>
      </c>
      <c r="E20" s="104" t="s">
        <v>441</v>
      </c>
      <c r="F20" s="62"/>
      <c r="G20" s="26" t="s">
        <v>341</v>
      </c>
    </row>
    <row r="21" spans="2:7" ht="29" outlineLevel="1" x14ac:dyDescent="0.35">
      <c r="B21" s="84"/>
      <c r="C21" s="85"/>
      <c r="D21" s="104" t="s">
        <v>1549</v>
      </c>
      <c r="E21" s="104" t="s">
        <v>442</v>
      </c>
      <c r="F21" s="62"/>
      <c r="G21" s="26" t="s">
        <v>341</v>
      </c>
    </row>
    <row r="22" spans="2:7" ht="29" outlineLevel="1" x14ac:dyDescent="0.35">
      <c r="B22" s="85"/>
      <c r="C22" s="85"/>
      <c r="D22" s="104" t="s">
        <v>443</v>
      </c>
      <c r="E22" s="104" t="s">
        <v>1267</v>
      </c>
      <c r="F22" s="62"/>
      <c r="G22" s="26" t="s">
        <v>341</v>
      </c>
    </row>
    <row r="23" spans="2:7" ht="101.5" outlineLevel="1" x14ac:dyDescent="0.35">
      <c r="B23" s="85"/>
      <c r="C23" s="85"/>
      <c r="D23" s="104" t="s">
        <v>3494</v>
      </c>
      <c r="E23" s="104" t="s">
        <v>4218</v>
      </c>
      <c r="F23" s="62"/>
      <c r="G23" s="26" t="s">
        <v>341</v>
      </c>
    </row>
    <row r="24" spans="2:7" ht="58" outlineLevel="1" x14ac:dyDescent="0.35">
      <c r="B24" s="85"/>
      <c r="C24" s="85"/>
      <c r="D24" s="104" t="s">
        <v>866</v>
      </c>
      <c r="E24" s="104" t="s">
        <v>1908</v>
      </c>
      <c r="F24" s="62"/>
      <c r="G24" s="26" t="s">
        <v>341</v>
      </c>
    </row>
    <row r="25" spans="2:7" x14ac:dyDescent="0.35">
      <c r="B25" s="84"/>
      <c r="C25" s="85"/>
      <c r="D25" s="4" t="s">
        <v>1309</v>
      </c>
      <c r="E25" s="85"/>
      <c r="F25" s="62"/>
      <c r="G25" s="103"/>
    </row>
    <row r="26" spans="2:7" ht="29" outlineLevel="1" x14ac:dyDescent="0.35">
      <c r="B26" s="84"/>
      <c r="C26" s="85"/>
      <c r="D26" s="104" t="s">
        <v>1264</v>
      </c>
      <c r="E26" s="104" t="s">
        <v>303</v>
      </c>
      <c r="F26" s="62"/>
      <c r="G26" s="26" t="s">
        <v>341</v>
      </c>
    </row>
    <row r="27" spans="2:7" ht="29" outlineLevel="1" x14ac:dyDescent="0.35">
      <c r="B27" s="84"/>
      <c r="C27" s="85"/>
      <c r="D27" s="104" t="s">
        <v>15</v>
      </c>
      <c r="E27" s="104" t="s">
        <v>1380</v>
      </c>
      <c r="F27" s="62"/>
      <c r="G27" s="26" t="s">
        <v>341</v>
      </c>
    </row>
    <row r="28" spans="2:7" ht="29" outlineLevel="1" x14ac:dyDescent="0.35">
      <c r="B28" s="84"/>
      <c r="C28" s="85"/>
      <c r="D28" s="104" t="s">
        <v>143</v>
      </c>
      <c r="E28" s="104" t="s">
        <v>144</v>
      </c>
      <c r="F28" s="62"/>
      <c r="G28" s="26" t="s">
        <v>341</v>
      </c>
    </row>
    <row r="29" spans="2:7" ht="43.5" outlineLevel="1" x14ac:dyDescent="0.35">
      <c r="B29" s="84"/>
      <c r="C29" s="85"/>
      <c r="D29" s="104" t="s">
        <v>145</v>
      </c>
      <c r="E29" s="104" t="s">
        <v>2966</v>
      </c>
      <c r="F29" s="62"/>
      <c r="G29" s="26" t="s">
        <v>341</v>
      </c>
    </row>
    <row r="30" spans="2:7" x14ac:dyDescent="0.35">
      <c r="B30" s="84"/>
      <c r="C30" s="85"/>
      <c r="D30" s="4" t="s">
        <v>1310</v>
      </c>
      <c r="E30" s="85"/>
      <c r="F30" s="62"/>
      <c r="G30" s="88"/>
    </row>
    <row r="31" spans="2:7" outlineLevel="1" x14ac:dyDescent="0.35">
      <c r="B31" s="84"/>
      <c r="C31" s="85"/>
      <c r="D31" s="4" t="s">
        <v>1311</v>
      </c>
      <c r="E31" s="85"/>
      <c r="F31" s="62"/>
      <c r="G31" s="103"/>
    </row>
    <row r="32" spans="2:7" ht="29" outlineLevel="1" x14ac:dyDescent="0.35">
      <c r="B32" s="84"/>
      <c r="C32" s="85"/>
      <c r="D32" s="104" t="s">
        <v>273</v>
      </c>
      <c r="E32" s="104" t="s">
        <v>274</v>
      </c>
      <c r="F32" s="62"/>
      <c r="G32" s="26" t="s">
        <v>341</v>
      </c>
    </row>
    <row r="33" spans="2:7" ht="72.5" outlineLevel="1" x14ac:dyDescent="0.35">
      <c r="B33" s="84"/>
      <c r="C33" s="85"/>
      <c r="D33" s="104" t="s">
        <v>1653</v>
      </c>
      <c r="E33" s="104" t="s">
        <v>1594</v>
      </c>
      <c r="F33" s="62"/>
      <c r="G33" s="26" t="s">
        <v>341</v>
      </c>
    </row>
    <row r="34" spans="2:7" ht="89.5" customHeight="1" outlineLevel="1" x14ac:dyDescent="0.35">
      <c r="B34" s="84"/>
      <c r="C34" s="85"/>
      <c r="D34" s="104" t="s">
        <v>2629</v>
      </c>
      <c r="E34" s="104" t="s">
        <v>4030</v>
      </c>
      <c r="F34" s="62"/>
      <c r="G34" s="26" t="s">
        <v>341</v>
      </c>
    </row>
    <row r="35" spans="2:7" ht="29" outlineLevel="1" x14ac:dyDescent="0.35">
      <c r="B35" s="84"/>
      <c r="C35" s="85"/>
      <c r="D35" s="104" t="s">
        <v>276</v>
      </c>
      <c r="E35" s="104" t="s">
        <v>275</v>
      </c>
      <c r="F35" s="62"/>
      <c r="G35" s="26" t="s">
        <v>341</v>
      </c>
    </row>
    <row r="36" spans="2:7" ht="29" outlineLevel="1" x14ac:dyDescent="0.35">
      <c r="B36" s="84"/>
      <c r="C36" s="85"/>
      <c r="D36" s="104" t="s">
        <v>277</v>
      </c>
      <c r="E36" s="104" t="s">
        <v>1469</v>
      </c>
      <c r="F36" s="62"/>
      <c r="G36" s="26" t="s">
        <v>341</v>
      </c>
    </row>
    <row r="37" spans="2:7" outlineLevel="1" x14ac:dyDescent="0.35">
      <c r="B37" s="84"/>
      <c r="C37" s="85"/>
      <c r="D37" s="4" t="s">
        <v>1312</v>
      </c>
      <c r="E37" s="85"/>
      <c r="F37" s="62"/>
      <c r="G37" s="103"/>
    </row>
    <row r="38" spans="2:7" ht="29" outlineLevel="1" x14ac:dyDescent="0.35">
      <c r="B38" s="84"/>
      <c r="C38" s="85"/>
      <c r="D38" s="104" t="s">
        <v>278</v>
      </c>
      <c r="E38" s="104" t="s">
        <v>583</v>
      </c>
      <c r="F38" s="62"/>
      <c r="G38" s="26" t="s">
        <v>341</v>
      </c>
    </row>
    <row r="39" spans="2:7" ht="72.5" outlineLevel="1" x14ac:dyDescent="0.35">
      <c r="B39" s="84"/>
      <c r="C39" s="85"/>
      <c r="D39" s="104" t="s">
        <v>4117</v>
      </c>
      <c r="E39" s="104" t="s">
        <v>4118</v>
      </c>
      <c r="F39" s="62"/>
      <c r="G39" s="26" t="s">
        <v>341</v>
      </c>
    </row>
    <row r="40" spans="2:7" ht="72.5" outlineLevel="1" x14ac:dyDescent="0.35">
      <c r="B40" s="84"/>
      <c r="C40" s="85"/>
      <c r="D40" s="104" t="s">
        <v>279</v>
      </c>
      <c r="E40" s="104" t="s">
        <v>3934</v>
      </c>
      <c r="F40" s="62"/>
      <c r="G40" s="26" t="s">
        <v>341</v>
      </c>
    </row>
    <row r="41" spans="2:7" ht="29" outlineLevel="1" x14ac:dyDescent="0.35">
      <c r="B41" s="84"/>
      <c r="C41" s="85"/>
      <c r="D41" s="104" t="s">
        <v>280</v>
      </c>
      <c r="E41" s="104" t="s">
        <v>281</v>
      </c>
      <c r="F41" s="62"/>
      <c r="G41" s="26" t="s">
        <v>341</v>
      </c>
    </row>
    <row r="42" spans="2:7" ht="29" outlineLevel="1" x14ac:dyDescent="0.35">
      <c r="B42" s="84"/>
      <c r="C42" s="85"/>
      <c r="D42" s="104" t="s">
        <v>282</v>
      </c>
      <c r="E42" s="104" t="s">
        <v>2485</v>
      </c>
      <c r="F42" s="62"/>
      <c r="G42" s="26" t="s">
        <v>341</v>
      </c>
    </row>
    <row r="43" spans="2:7" x14ac:dyDescent="0.35">
      <c r="B43" s="84"/>
      <c r="C43" s="85"/>
      <c r="D43" s="4" t="s">
        <v>2898</v>
      </c>
      <c r="E43" s="85"/>
      <c r="F43" s="62"/>
      <c r="G43" s="88"/>
    </row>
    <row r="44" spans="2:7" outlineLevel="1" x14ac:dyDescent="0.35">
      <c r="B44" s="84"/>
      <c r="C44" s="85"/>
      <c r="D44" s="4" t="s">
        <v>1583</v>
      </c>
      <c r="E44" s="85"/>
      <c r="F44" s="62"/>
      <c r="G44" s="88"/>
    </row>
    <row r="45" spans="2:7" ht="72.5" outlineLevel="1" x14ac:dyDescent="0.35">
      <c r="B45" s="84"/>
      <c r="C45" s="85"/>
      <c r="D45" s="104" t="s">
        <v>1596</v>
      </c>
      <c r="E45" s="104" t="s">
        <v>4026</v>
      </c>
      <c r="F45" s="62"/>
      <c r="G45" s="26" t="s">
        <v>341</v>
      </c>
    </row>
    <row r="46" spans="2:7" ht="58" outlineLevel="1" x14ac:dyDescent="0.35">
      <c r="B46" s="84"/>
      <c r="C46" s="85"/>
      <c r="D46" s="104" t="s">
        <v>1595</v>
      </c>
      <c r="E46" s="104" t="s">
        <v>1581</v>
      </c>
      <c r="F46" s="62"/>
      <c r="G46" s="26" t="s">
        <v>341</v>
      </c>
    </row>
    <row r="47" spans="2:7" outlineLevel="1" x14ac:dyDescent="0.35">
      <c r="B47" s="84"/>
      <c r="C47" s="85"/>
      <c r="D47" s="4" t="s">
        <v>1584</v>
      </c>
      <c r="E47" s="85"/>
      <c r="F47" s="62"/>
      <c r="G47" s="103"/>
    </row>
    <row r="48" spans="2:7" ht="29" outlineLevel="1" x14ac:dyDescent="0.35">
      <c r="B48" s="84"/>
      <c r="C48" s="85"/>
      <c r="D48" s="104" t="s">
        <v>1651</v>
      </c>
      <c r="E48" s="104" t="s">
        <v>1582</v>
      </c>
      <c r="F48" s="62"/>
      <c r="G48" s="26" t="s">
        <v>341</v>
      </c>
    </row>
    <row r="49" spans="2:7" x14ac:dyDescent="0.35">
      <c r="B49" s="84"/>
      <c r="C49" s="85"/>
      <c r="D49" s="4" t="s">
        <v>1585</v>
      </c>
      <c r="E49" s="85"/>
      <c r="F49" s="62"/>
      <c r="G49" s="88"/>
    </row>
    <row r="50" spans="2:7" ht="43.5" outlineLevel="1" x14ac:dyDescent="0.35">
      <c r="B50" s="84"/>
      <c r="C50" s="85"/>
      <c r="D50" s="104" t="s">
        <v>445</v>
      </c>
      <c r="E50" s="104" t="s">
        <v>1652</v>
      </c>
      <c r="F50" s="62"/>
      <c r="G50" s="26" t="s">
        <v>341</v>
      </c>
    </row>
    <row r="51" spans="2:7" ht="72.5" outlineLevel="1" x14ac:dyDescent="0.35">
      <c r="B51" s="84"/>
      <c r="C51" s="85"/>
      <c r="D51" s="104" t="s">
        <v>482</v>
      </c>
      <c r="E51" s="104" t="s">
        <v>1580</v>
      </c>
      <c r="F51" s="62"/>
      <c r="G51" s="26" t="s">
        <v>341</v>
      </c>
    </row>
    <row r="52" spans="2:7" ht="43.5" outlineLevel="1" x14ac:dyDescent="0.35">
      <c r="B52" s="84"/>
      <c r="C52" s="85"/>
      <c r="D52" s="104" t="s">
        <v>481</v>
      </c>
      <c r="E52" s="104" t="s">
        <v>585</v>
      </c>
      <c r="F52" s="62"/>
      <c r="G52" s="26" t="s">
        <v>341</v>
      </c>
    </row>
    <row r="53" spans="2:7" x14ac:dyDescent="0.35">
      <c r="B53" s="84"/>
      <c r="C53" s="85"/>
      <c r="D53" s="4" t="s">
        <v>1586</v>
      </c>
      <c r="E53" s="85"/>
      <c r="F53" s="62"/>
      <c r="G53" s="103"/>
    </row>
    <row r="54" spans="2:7" ht="58" outlineLevel="1" x14ac:dyDescent="0.35">
      <c r="B54" s="84"/>
      <c r="C54" s="85"/>
      <c r="D54" s="104" t="s">
        <v>866</v>
      </c>
      <c r="E54" s="104" t="s">
        <v>1908</v>
      </c>
      <c r="F54" s="62"/>
      <c r="G54" s="26" t="s">
        <v>341</v>
      </c>
    </row>
    <row r="55" spans="2:7" x14ac:dyDescent="0.35">
      <c r="B55" s="105"/>
      <c r="C55" s="105"/>
      <c r="D55" s="4" t="s">
        <v>1587</v>
      </c>
      <c r="E55" s="106"/>
      <c r="F55" s="62"/>
      <c r="G55" s="107"/>
    </row>
    <row r="56" spans="2:7" outlineLevel="1" x14ac:dyDescent="0.35">
      <c r="B56" s="105"/>
      <c r="C56" s="105"/>
      <c r="D56" s="104" t="s">
        <v>957</v>
      </c>
      <c r="E56" s="104" t="s">
        <v>958</v>
      </c>
      <c r="F56" s="62"/>
      <c r="G56" s="26" t="s">
        <v>341</v>
      </c>
    </row>
    <row r="57" spans="2:7" ht="58" outlineLevel="1" x14ac:dyDescent="0.35">
      <c r="B57" s="105"/>
      <c r="C57" s="105"/>
      <c r="D57" s="104" t="s">
        <v>2838</v>
      </c>
      <c r="E57" s="104" t="s">
        <v>1263</v>
      </c>
      <c r="F57" s="62"/>
      <c r="G57" s="26" t="s">
        <v>341</v>
      </c>
    </row>
    <row r="58" spans="2:7" ht="29" outlineLevel="1" x14ac:dyDescent="0.35">
      <c r="B58" s="105"/>
      <c r="C58" s="105"/>
      <c r="D58" s="104" t="s">
        <v>1324</v>
      </c>
      <c r="E58" s="104" t="s">
        <v>1459</v>
      </c>
      <c r="F58" s="62"/>
      <c r="G58" s="26" t="s">
        <v>341</v>
      </c>
    </row>
    <row r="59" spans="2:7" ht="58" outlineLevel="1" x14ac:dyDescent="0.35">
      <c r="B59" s="105"/>
      <c r="C59" s="105"/>
      <c r="D59" s="104" t="s">
        <v>2839</v>
      </c>
      <c r="E59" s="104" t="s">
        <v>1313</v>
      </c>
      <c r="F59" s="62"/>
      <c r="G59" s="26" t="s">
        <v>341</v>
      </c>
    </row>
    <row r="60" spans="2:7" x14ac:dyDescent="0.35">
      <c r="B60" s="105"/>
      <c r="C60" s="105"/>
      <c r="D60" s="4" t="s">
        <v>1588</v>
      </c>
      <c r="E60" s="106"/>
      <c r="F60" s="62"/>
      <c r="G60" s="107"/>
    </row>
    <row r="61" spans="2:7" ht="116" outlineLevel="1" x14ac:dyDescent="0.35">
      <c r="B61" s="105"/>
      <c r="C61" s="105"/>
      <c r="D61" s="104" t="s">
        <v>1325</v>
      </c>
      <c r="E61" s="104" t="s">
        <v>1468</v>
      </c>
      <c r="F61" s="62"/>
      <c r="G61" s="26" t="s">
        <v>341</v>
      </c>
    </row>
    <row r="62" spans="2:7" ht="203" outlineLevel="1" x14ac:dyDescent="0.35">
      <c r="B62" s="105"/>
      <c r="C62" s="105"/>
      <c r="D62" s="104" t="s">
        <v>3475</v>
      </c>
      <c r="E62" s="104" t="s">
        <v>3708</v>
      </c>
      <c r="F62" s="62"/>
      <c r="G62" s="26" t="s">
        <v>341</v>
      </c>
    </row>
    <row r="63" spans="2:7" x14ac:dyDescent="0.35">
      <c r="B63" s="84"/>
      <c r="C63" s="85"/>
      <c r="D63" s="4" t="s">
        <v>1589</v>
      </c>
      <c r="E63" s="85"/>
      <c r="F63" s="62"/>
      <c r="G63" s="88"/>
    </row>
    <row r="64" spans="2:7" outlineLevel="1" x14ac:dyDescent="0.35">
      <c r="B64" s="84"/>
      <c r="C64" s="85"/>
      <c r="D64" s="104" t="s">
        <v>1458</v>
      </c>
      <c r="E64" s="104" t="s">
        <v>1440</v>
      </c>
      <c r="F64" s="62"/>
      <c r="G64" s="26" t="s">
        <v>341</v>
      </c>
    </row>
    <row r="65" spans="2:7" ht="58" outlineLevel="1" x14ac:dyDescent="0.35">
      <c r="B65" s="84"/>
      <c r="C65" s="85"/>
      <c r="D65" s="104" t="s">
        <v>550</v>
      </c>
      <c r="E65" s="104" t="s">
        <v>1467</v>
      </c>
      <c r="F65" s="62"/>
      <c r="G65" s="26" t="s">
        <v>341</v>
      </c>
    </row>
    <row r="66" spans="2:7" ht="43.5" outlineLevel="1" x14ac:dyDescent="0.35">
      <c r="B66" s="84"/>
      <c r="C66" s="85"/>
      <c r="D66" s="104" t="s">
        <v>1265</v>
      </c>
      <c r="E66" s="104" t="s">
        <v>480</v>
      </c>
      <c r="F66" s="62"/>
      <c r="G66" s="26" t="s">
        <v>341</v>
      </c>
    </row>
    <row r="67" spans="2:7" x14ac:dyDescent="0.35">
      <c r="B67" s="84"/>
      <c r="C67" s="85"/>
      <c r="D67" s="4" t="s">
        <v>1590</v>
      </c>
      <c r="E67" s="85"/>
      <c r="F67" s="62"/>
      <c r="G67" s="88"/>
    </row>
    <row r="68" spans="2:7" ht="72.5" outlineLevel="1" x14ac:dyDescent="0.35">
      <c r="B68" s="84"/>
      <c r="C68" s="85"/>
      <c r="D68" s="104" t="s">
        <v>1439</v>
      </c>
      <c r="E68" s="104" t="s">
        <v>2894</v>
      </c>
      <c r="F68" s="62"/>
      <c r="G68" s="26" t="s">
        <v>341</v>
      </c>
    </row>
    <row r="69" spans="2:7" ht="72.5" outlineLevel="1" x14ac:dyDescent="0.35">
      <c r="B69" s="84"/>
      <c r="C69" s="85"/>
      <c r="D69" s="104" t="s">
        <v>1788</v>
      </c>
      <c r="E69" s="104" t="s">
        <v>3056</v>
      </c>
      <c r="F69" s="62"/>
      <c r="G69" s="26" t="s">
        <v>341</v>
      </c>
    </row>
    <row r="70" spans="2:7" ht="188.5" outlineLevel="1" x14ac:dyDescent="0.35">
      <c r="B70" s="84"/>
      <c r="C70" s="85"/>
      <c r="D70" s="104" t="s">
        <v>1296</v>
      </c>
      <c r="E70" s="108" t="s">
        <v>4042</v>
      </c>
      <c r="F70" s="62"/>
      <c r="G70" s="26" t="s">
        <v>341</v>
      </c>
    </row>
    <row r="71" spans="2:7" outlineLevel="1" x14ac:dyDescent="0.35">
      <c r="B71" s="84"/>
      <c r="C71" s="85"/>
      <c r="D71" s="104" t="s">
        <v>147</v>
      </c>
      <c r="E71" s="104" t="s">
        <v>584</v>
      </c>
      <c r="F71" s="62"/>
      <c r="G71" s="26" t="s">
        <v>341</v>
      </c>
    </row>
    <row r="72" spans="2:7" ht="101.5" outlineLevel="1" x14ac:dyDescent="0.35">
      <c r="B72" s="84"/>
      <c r="C72" s="85"/>
      <c r="D72" s="104" t="s">
        <v>444</v>
      </c>
      <c r="E72" s="104" t="s">
        <v>4049</v>
      </c>
      <c r="F72" s="62"/>
      <c r="G72" s="26" t="s">
        <v>341</v>
      </c>
    </row>
    <row r="73" spans="2:7" outlineLevel="1" x14ac:dyDescent="0.35">
      <c r="B73" s="84"/>
      <c r="C73" s="85"/>
      <c r="D73" s="104" t="s">
        <v>146</v>
      </c>
      <c r="E73" s="104" t="s">
        <v>739</v>
      </c>
      <c r="F73" s="62"/>
      <c r="G73" s="26" t="s">
        <v>341</v>
      </c>
    </row>
    <row r="74" spans="2:7" x14ac:dyDescent="0.35">
      <c r="B74" s="84"/>
      <c r="C74" s="84" t="s">
        <v>3505</v>
      </c>
      <c r="D74" s="85"/>
      <c r="E74" s="85"/>
      <c r="F74" s="62"/>
      <c r="G74" s="23">
        <f>COUNTIF(G75:G92,"Yes")</f>
        <v>13</v>
      </c>
    </row>
    <row r="75" spans="2:7" x14ac:dyDescent="0.35">
      <c r="B75" s="84"/>
      <c r="C75" s="84"/>
      <c r="D75" s="4" t="s">
        <v>148</v>
      </c>
      <c r="E75" s="85"/>
      <c r="F75" s="62"/>
      <c r="G75" s="103"/>
    </row>
    <row r="76" spans="2:7" ht="43.5" outlineLevel="1" x14ac:dyDescent="0.35">
      <c r="B76" s="84"/>
      <c r="C76" s="85"/>
      <c r="D76" s="104" t="s">
        <v>149</v>
      </c>
      <c r="E76" s="104" t="s">
        <v>1186</v>
      </c>
      <c r="F76" s="62"/>
      <c r="G76" s="26" t="s">
        <v>341</v>
      </c>
    </row>
    <row r="77" spans="2:7" ht="43.5" outlineLevel="1" x14ac:dyDescent="0.35">
      <c r="B77" s="84"/>
      <c r="C77" s="85"/>
      <c r="D77" s="104" t="s">
        <v>150</v>
      </c>
      <c r="E77" s="104" t="s">
        <v>62</v>
      </c>
      <c r="F77" s="62"/>
      <c r="G77" s="26" t="s">
        <v>341</v>
      </c>
    </row>
    <row r="78" spans="2:7" ht="43.5" outlineLevel="1" x14ac:dyDescent="0.35">
      <c r="B78" s="84"/>
      <c r="C78" s="84"/>
      <c r="D78" s="104" t="s">
        <v>151</v>
      </c>
      <c r="E78" s="104" t="s">
        <v>1188</v>
      </c>
      <c r="F78" s="62"/>
      <c r="G78" s="26" t="s">
        <v>341</v>
      </c>
    </row>
    <row r="79" spans="2:7" x14ac:dyDescent="0.35">
      <c r="B79" s="84"/>
      <c r="C79" s="85"/>
      <c r="D79" s="4" t="s">
        <v>887</v>
      </c>
      <c r="E79" s="85"/>
      <c r="F79" s="62"/>
      <c r="G79" s="103"/>
    </row>
    <row r="80" spans="2:7" ht="58" outlineLevel="1" x14ac:dyDescent="0.35">
      <c r="B80" s="84"/>
      <c r="C80" s="85"/>
      <c r="D80" s="104" t="s">
        <v>750</v>
      </c>
      <c r="E80" s="104" t="s">
        <v>749</v>
      </c>
      <c r="F80" s="62"/>
      <c r="G80" s="26" t="s">
        <v>341</v>
      </c>
    </row>
    <row r="81" spans="2:7" ht="58" outlineLevel="1" x14ac:dyDescent="0.35">
      <c r="B81" s="84"/>
      <c r="C81" s="85"/>
      <c r="D81" s="104" t="s">
        <v>752</v>
      </c>
      <c r="E81" s="104" t="s">
        <v>753</v>
      </c>
      <c r="F81" s="62"/>
      <c r="G81" s="26" t="s">
        <v>341</v>
      </c>
    </row>
    <row r="82" spans="2:7" ht="43.5" outlineLevel="1" x14ac:dyDescent="0.35">
      <c r="B82" s="84"/>
      <c r="C82" s="85"/>
      <c r="D82" s="104" t="s">
        <v>751</v>
      </c>
      <c r="E82" s="104" t="s">
        <v>359</v>
      </c>
      <c r="F82" s="62"/>
      <c r="G82" s="26" t="s">
        <v>341</v>
      </c>
    </row>
    <row r="83" spans="2:7" x14ac:dyDescent="0.35">
      <c r="B83" s="84"/>
      <c r="C83" s="85"/>
      <c r="D83" s="4" t="s">
        <v>888</v>
      </c>
      <c r="E83" s="85"/>
      <c r="F83" s="62"/>
      <c r="G83" s="109"/>
    </row>
    <row r="84" spans="2:7" ht="58" outlineLevel="1" x14ac:dyDescent="0.35">
      <c r="B84" s="84"/>
      <c r="C84" s="85"/>
      <c r="D84" s="104" t="s">
        <v>756</v>
      </c>
      <c r="E84" s="104" t="s">
        <v>152</v>
      </c>
      <c r="F84" s="62"/>
      <c r="G84" s="26" t="s">
        <v>341</v>
      </c>
    </row>
    <row r="85" spans="2:7" ht="58" outlineLevel="1" x14ac:dyDescent="0.35">
      <c r="B85" s="84"/>
      <c r="C85" s="85"/>
      <c r="D85" s="104" t="s">
        <v>754</v>
      </c>
      <c r="E85" s="104" t="s">
        <v>757</v>
      </c>
      <c r="F85" s="62"/>
      <c r="G85" s="26" t="s">
        <v>341</v>
      </c>
    </row>
    <row r="86" spans="2:7" ht="43.5" outlineLevel="1" x14ac:dyDescent="0.35">
      <c r="B86" s="84"/>
      <c r="C86" s="85"/>
      <c r="D86" s="104" t="s">
        <v>755</v>
      </c>
      <c r="E86" s="104" t="s">
        <v>55</v>
      </c>
      <c r="F86" s="62"/>
      <c r="G86" s="26" t="s">
        <v>341</v>
      </c>
    </row>
    <row r="87" spans="2:7" x14ac:dyDescent="0.35">
      <c r="B87" s="84"/>
      <c r="C87" s="85"/>
      <c r="D87" s="4" t="s">
        <v>889</v>
      </c>
      <c r="E87" s="85"/>
      <c r="F87" s="62"/>
      <c r="G87" s="103"/>
    </row>
    <row r="88" spans="2:7" ht="43.5" outlineLevel="1" x14ac:dyDescent="0.35">
      <c r="B88" s="84"/>
      <c r="C88" s="85"/>
      <c r="D88" s="104" t="s">
        <v>355</v>
      </c>
      <c r="E88" s="104" t="s">
        <v>1113</v>
      </c>
      <c r="F88" s="62"/>
      <c r="G88" s="26" t="s">
        <v>341</v>
      </c>
    </row>
    <row r="89" spans="2:7" ht="43.5" outlineLevel="1" x14ac:dyDescent="0.35">
      <c r="B89" s="84"/>
      <c r="C89" s="85"/>
      <c r="D89" s="104" t="s">
        <v>849</v>
      </c>
      <c r="E89" s="104" t="s">
        <v>357</v>
      </c>
      <c r="F89" s="62"/>
      <c r="G89" s="26" t="s">
        <v>341</v>
      </c>
    </row>
    <row r="90" spans="2:7" ht="28.5" customHeight="1" outlineLevel="1" x14ac:dyDescent="0.35">
      <c r="B90" s="84"/>
      <c r="C90" s="85"/>
      <c r="D90" s="104" t="s">
        <v>304</v>
      </c>
      <c r="E90" s="104" t="s">
        <v>758</v>
      </c>
      <c r="F90" s="62"/>
      <c r="G90" s="26" t="s">
        <v>341</v>
      </c>
    </row>
    <row r="91" spans="2:7" x14ac:dyDescent="0.35">
      <c r="B91" s="84"/>
      <c r="C91" s="85"/>
      <c r="D91" s="4" t="s">
        <v>356</v>
      </c>
      <c r="E91" s="85"/>
      <c r="F91" s="62"/>
      <c r="G91" s="110"/>
    </row>
    <row r="92" spans="2:7" ht="43.5" outlineLevel="1" x14ac:dyDescent="0.35">
      <c r="B92" s="84"/>
      <c r="C92" s="85"/>
      <c r="D92" s="104" t="s">
        <v>263</v>
      </c>
      <c r="E92" s="104" t="s">
        <v>3010</v>
      </c>
      <c r="F92" s="62"/>
      <c r="G92" s="26" t="s">
        <v>341</v>
      </c>
    </row>
    <row r="93" spans="2:7" x14ac:dyDescent="0.35">
      <c r="B93" s="105"/>
      <c r="C93" s="105" t="s">
        <v>1075</v>
      </c>
      <c r="D93" s="105"/>
      <c r="E93" s="106"/>
      <c r="G93" s="102">
        <f>COUNTIF(G95:G187,"Yes")</f>
        <v>85</v>
      </c>
    </row>
    <row r="94" spans="2:7" x14ac:dyDescent="0.35">
      <c r="B94" s="105"/>
      <c r="C94" s="105"/>
      <c r="D94" s="4" t="s">
        <v>2899</v>
      </c>
      <c r="E94" s="106"/>
      <c r="F94" s="62"/>
      <c r="G94" s="103"/>
    </row>
    <row r="95" spans="2:7" ht="58" outlineLevel="1" x14ac:dyDescent="0.35">
      <c r="B95" s="105"/>
      <c r="C95" s="105"/>
      <c r="D95" s="104" t="s">
        <v>1925</v>
      </c>
      <c r="E95" s="104" t="s">
        <v>1865</v>
      </c>
      <c r="F95" s="62"/>
      <c r="G95" s="26" t="s">
        <v>341</v>
      </c>
    </row>
    <row r="96" spans="2:7" ht="72.5" outlineLevel="1" x14ac:dyDescent="0.35">
      <c r="B96" s="105"/>
      <c r="C96" s="105"/>
      <c r="D96" s="104" t="s">
        <v>741</v>
      </c>
      <c r="E96" s="104" t="s">
        <v>2670</v>
      </c>
      <c r="F96" s="62"/>
      <c r="G96" s="26" t="s">
        <v>341</v>
      </c>
    </row>
    <row r="97" spans="2:7" ht="72.5" outlineLevel="1" x14ac:dyDescent="0.35">
      <c r="B97" s="105"/>
      <c r="C97" s="105"/>
      <c r="D97" s="104" t="s">
        <v>4948</v>
      </c>
      <c r="E97" s="104" t="s">
        <v>4949</v>
      </c>
      <c r="F97" s="62"/>
      <c r="G97" s="26" t="s">
        <v>341</v>
      </c>
    </row>
    <row r="98" spans="2:7" ht="116" outlineLevel="1" x14ac:dyDescent="0.35">
      <c r="B98" s="105"/>
      <c r="C98" s="105"/>
      <c r="D98" s="104" t="s">
        <v>4115</v>
      </c>
      <c r="E98" s="104" t="s">
        <v>5684</v>
      </c>
      <c r="F98" s="62"/>
      <c r="G98" s="26" t="s">
        <v>341</v>
      </c>
    </row>
    <row r="99" spans="2:7" ht="58" outlineLevel="1" x14ac:dyDescent="0.35">
      <c r="B99" s="105"/>
      <c r="C99" s="105"/>
      <c r="D99" s="104" t="s">
        <v>5425</v>
      </c>
      <c r="E99" s="104" t="s">
        <v>5426</v>
      </c>
      <c r="F99" s="62"/>
      <c r="G99" s="26" t="s">
        <v>341</v>
      </c>
    </row>
    <row r="100" spans="2:7" ht="72.5" outlineLevel="1" x14ac:dyDescent="0.35">
      <c r="B100" s="105"/>
      <c r="C100" s="105"/>
      <c r="D100" s="104" t="s">
        <v>5423</v>
      </c>
      <c r="E100" s="104" t="s">
        <v>5424</v>
      </c>
      <c r="F100" s="62"/>
      <c r="G100" s="26" t="s">
        <v>341</v>
      </c>
    </row>
    <row r="101" spans="2:7" ht="58" outlineLevel="1" x14ac:dyDescent="0.35">
      <c r="B101" s="105"/>
      <c r="C101" s="105"/>
      <c r="D101" s="104" t="s">
        <v>5413</v>
      </c>
      <c r="E101" s="104" t="s">
        <v>5416</v>
      </c>
      <c r="F101" s="62"/>
      <c r="G101" s="26" t="s">
        <v>341</v>
      </c>
    </row>
    <row r="102" spans="2:7" ht="72.5" outlineLevel="1" x14ac:dyDescent="0.35">
      <c r="B102" s="105"/>
      <c r="C102" s="105"/>
      <c r="D102" s="104" t="s">
        <v>5414</v>
      </c>
      <c r="E102" s="104" t="s">
        <v>5417</v>
      </c>
      <c r="F102" s="62"/>
      <c r="G102" s="26" t="s">
        <v>341</v>
      </c>
    </row>
    <row r="103" spans="2:7" ht="58" outlineLevel="1" x14ac:dyDescent="0.35">
      <c r="B103" s="105"/>
      <c r="C103" s="105"/>
      <c r="D103" s="104" t="s">
        <v>5415</v>
      </c>
      <c r="E103" s="104" t="s">
        <v>3390</v>
      </c>
      <c r="F103" s="62"/>
      <c r="G103" s="26" t="s">
        <v>341</v>
      </c>
    </row>
    <row r="104" spans="2:7" ht="58" outlineLevel="1" x14ac:dyDescent="0.35">
      <c r="B104" s="105"/>
      <c r="C104" s="105"/>
      <c r="D104" s="104" t="s">
        <v>2950</v>
      </c>
      <c r="E104" s="104" t="s">
        <v>4021</v>
      </c>
      <c r="F104" s="62"/>
      <c r="G104" s="26" t="s">
        <v>341</v>
      </c>
    </row>
    <row r="105" spans="2:7" ht="58" outlineLevel="1" x14ac:dyDescent="0.35">
      <c r="B105" s="105"/>
      <c r="C105" s="105"/>
      <c r="D105" s="104" t="s">
        <v>2951</v>
      </c>
      <c r="E105" s="104" t="s">
        <v>2952</v>
      </c>
      <c r="F105" s="62"/>
      <c r="G105" s="26" t="s">
        <v>341</v>
      </c>
    </row>
    <row r="106" spans="2:7" ht="43.5" outlineLevel="1" x14ac:dyDescent="0.35">
      <c r="B106" s="105"/>
      <c r="C106" s="105"/>
      <c r="D106" s="104" t="s">
        <v>742</v>
      </c>
      <c r="E106" s="104" t="s">
        <v>743</v>
      </c>
      <c r="F106" s="62"/>
      <c r="G106" s="26" t="s">
        <v>341</v>
      </c>
    </row>
    <row r="107" spans="2:7" ht="58" outlineLevel="1" x14ac:dyDescent="0.35">
      <c r="B107" s="105"/>
      <c r="C107" s="105"/>
      <c r="D107" s="104" t="s">
        <v>744</v>
      </c>
      <c r="E107" s="104" t="s">
        <v>1076</v>
      </c>
      <c r="F107" s="62"/>
      <c r="G107" s="26" t="s">
        <v>341</v>
      </c>
    </row>
    <row r="108" spans="2:7" ht="116" outlineLevel="1" x14ac:dyDescent="0.35">
      <c r="B108" s="105"/>
      <c r="C108" s="105"/>
      <c r="D108" s="104" t="s">
        <v>2848</v>
      </c>
      <c r="E108" s="104" t="s">
        <v>5375</v>
      </c>
      <c r="F108" s="62"/>
      <c r="G108" s="26" t="s">
        <v>341</v>
      </c>
    </row>
    <row r="109" spans="2:7" ht="72.5" outlineLevel="1" x14ac:dyDescent="0.35">
      <c r="B109" s="105"/>
      <c r="C109" s="105"/>
      <c r="D109" s="104" t="s">
        <v>745</v>
      </c>
      <c r="E109" s="104" t="s">
        <v>2555</v>
      </c>
      <c r="F109" s="62"/>
      <c r="G109" s="26" t="s">
        <v>341</v>
      </c>
    </row>
    <row r="110" spans="2:7" ht="43.5" outlineLevel="1" x14ac:dyDescent="0.35">
      <c r="B110" s="105"/>
      <c r="C110" s="105"/>
      <c r="D110" s="104" t="s">
        <v>4947</v>
      </c>
      <c r="E110" s="104" t="s">
        <v>5427</v>
      </c>
      <c r="F110" s="62"/>
      <c r="G110" s="26" t="s">
        <v>341</v>
      </c>
    </row>
    <row r="111" spans="2:7" ht="58" outlineLevel="1" x14ac:dyDescent="0.35">
      <c r="B111" s="105"/>
      <c r="C111" s="105"/>
      <c r="D111" s="104" t="s">
        <v>3495</v>
      </c>
      <c r="E111" s="104" t="s">
        <v>3015</v>
      </c>
      <c r="F111" s="62"/>
      <c r="G111" s="26" t="s">
        <v>341</v>
      </c>
    </row>
    <row r="112" spans="2:7" ht="72.5" outlineLevel="1" x14ac:dyDescent="0.35">
      <c r="B112" s="105"/>
      <c r="C112" s="105"/>
      <c r="D112" s="104" t="s">
        <v>5137</v>
      </c>
      <c r="E112" s="104" t="s">
        <v>5138</v>
      </c>
      <c r="F112" s="62"/>
      <c r="G112" s="26" t="s">
        <v>341</v>
      </c>
    </row>
    <row r="113" spans="2:7" ht="58" outlineLevel="1" x14ac:dyDescent="0.35">
      <c r="B113" s="105"/>
      <c r="C113" s="105"/>
      <c r="D113" s="104" t="s">
        <v>746</v>
      </c>
      <c r="E113" s="104" t="s">
        <v>1464</v>
      </c>
      <c r="F113" s="62"/>
      <c r="G113" s="26" t="s">
        <v>341</v>
      </c>
    </row>
    <row r="114" spans="2:7" ht="43.5" outlineLevel="1" x14ac:dyDescent="0.35">
      <c r="B114" s="105"/>
      <c r="C114" s="105"/>
      <c r="D114" s="104" t="s">
        <v>748</v>
      </c>
      <c r="E114" s="104" t="s">
        <v>747</v>
      </c>
      <c r="F114" s="62"/>
      <c r="G114" s="26" t="s">
        <v>341</v>
      </c>
    </row>
    <row r="115" spans="2:7" ht="72.5" outlineLevel="1" x14ac:dyDescent="0.35">
      <c r="B115" s="105"/>
      <c r="C115" s="105"/>
      <c r="D115" s="104" t="s">
        <v>1866</v>
      </c>
      <c r="E115" s="104" t="s">
        <v>1980</v>
      </c>
      <c r="F115" s="62"/>
      <c r="G115" s="26" t="s">
        <v>341</v>
      </c>
    </row>
    <row r="116" spans="2:7" ht="29" outlineLevel="1" x14ac:dyDescent="0.35">
      <c r="B116" s="84"/>
      <c r="C116" s="85"/>
      <c r="D116" s="104" t="s">
        <v>1465</v>
      </c>
      <c r="E116" s="104" t="s">
        <v>1266</v>
      </c>
      <c r="F116" s="62"/>
      <c r="G116" s="26" t="s">
        <v>341</v>
      </c>
    </row>
    <row r="117" spans="2:7" ht="43.5" outlineLevel="1" x14ac:dyDescent="0.35">
      <c r="B117" s="105"/>
      <c r="C117" s="105"/>
      <c r="D117" s="104" t="s">
        <v>3476</v>
      </c>
      <c r="E117" s="104" t="s">
        <v>348</v>
      </c>
      <c r="F117" s="62"/>
      <c r="G117" s="26" t="s">
        <v>341</v>
      </c>
    </row>
    <row r="118" spans="2:7" ht="43.5" outlineLevel="1" x14ac:dyDescent="0.35">
      <c r="B118" s="84"/>
      <c r="C118" s="85"/>
      <c r="D118" s="104" t="s">
        <v>1466</v>
      </c>
      <c r="E118" s="104" t="s">
        <v>82</v>
      </c>
      <c r="F118" s="62"/>
      <c r="G118" s="26" t="s">
        <v>341</v>
      </c>
    </row>
    <row r="119" spans="2:7" ht="58" outlineLevel="1" x14ac:dyDescent="0.35">
      <c r="B119" s="105"/>
      <c r="C119" s="105"/>
      <c r="D119" s="104" t="s">
        <v>2844</v>
      </c>
      <c r="E119" s="104" t="s">
        <v>1077</v>
      </c>
      <c r="F119" s="62"/>
      <c r="G119" s="26" t="s">
        <v>341</v>
      </c>
    </row>
    <row r="120" spans="2:7" ht="43.5" outlineLevel="1" x14ac:dyDescent="0.35">
      <c r="B120" s="105"/>
      <c r="C120" s="105"/>
      <c r="D120" s="104" t="s">
        <v>3477</v>
      </c>
      <c r="E120" s="104" t="s">
        <v>358</v>
      </c>
      <c r="F120" s="62"/>
      <c r="G120" s="26" t="s">
        <v>341</v>
      </c>
    </row>
    <row r="121" spans="2:7" ht="43.5" outlineLevel="1" x14ac:dyDescent="0.35">
      <c r="B121" s="105"/>
      <c r="C121" s="105"/>
      <c r="D121" s="104" t="s">
        <v>3478</v>
      </c>
      <c r="E121" s="104" t="s">
        <v>848</v>
      </c>
      <c r="F121" s="62"/>
      <c r="G121" s="26" t="s">
        <v>341</v>
      </c>
    </row>
    <row r="122" spans="2:7" ht="29" outlineLevel="1" x14ac:dyDescent="0.35">
      <c r="B122" s="105"/>
      <c r="C122" s="105"/>
      <c r="D122" s="104" t="s">
        <v>3496</v>
      </c>
      <c r="E122" s="104" t="s">
        <v>740</v>
      </c>
      <c r="F122" s="62"/>
      <c r="G122" s="26" t="s">
        <v>341</v>
      </c>
    </row>
    <row r="123" spans="2:7" ht="72.5" outlineLevel="1" x14ac:dyDescent="0.35">
      <c r="B123" s="105"/>
      <c r="C123" s="105"/>
      <c r="D123" s="104" t="s">
        <v>3497</v>
      </c>
      <c r="E123" s="104" t="s">
        <v>2554</v>
      </c>
      <c r="F123" s="62"/>
      <c r="G123" s="26" t="s">
        <v>341</v>
      </c>
    </row>
    <row r="124" spans="2:7" ht="43.5" outlineLevel="1" x14ac:dyDescent="0.35">
      <c r="B124" s="105"/>
      <c r="C124" s="105"/>
      <c r="D124" s="104" t="s">
        <v>1945</v>
      </c>
      <c r="E124" s="104" t="s">
        <v>1946</v>
      </c>
      <c r="F124" s="62"/>
      <c r="G124" s="26" t="s">
        <v>341</v>
      </c>
    </row>
    <row r="125" spans="2:7" ht="72.5" outlineLevel="1" x14ac:dyDescent="0.35">
      <c r="B125" s="105"/>
      <c r="C125" s="105"/>
      <c r="D125" s="104" t="s">
        <v>2885</v>
      </c>
      <c r="E125" s="104" t="s">
        <v>3157</v>
      </c>
      <c r="F125" s="62"/>
      <c r="G125" s="26" t="s">
        <v>341</v>
      </c>
    </row>
    <row r="126" spans="2:7" ht="58" outlineLevel="1" x14ac:dyDescent="0.35">
      <c r="B126" s="105"/>
      <c r="C126" s="105"/>
      <c r="D126" s="104" t="s">
        <v>866</v>
      </c>
      <c r="E126" s="104" t="s">
        <v>1908</v>
      </c>
      <c r="F126" s="62"/>
      <c r="G126" s="26" t="s">
        <v>341</v>
      </c>
    </row>
    <row r="127" spans="2:7" ht="72.5" outlineLevel="1" x14ac:dyDescent="0.35">
      <c r="B127" s="105"/>
      <c r="C127" s="105"/>
      <c r="D127" s="104" t="s">
        <v>2799</v>
      </c>
      <c r="E127" s="104" t="s">
        <v>2800</v>
      </c>
      <c r="F127" s="62"/>
      <c r="G127" s="26" t="s">
        <v>341</v>
      </c>
    </row>
    <row r="128" spans="2:7" ht="87" outlineLevel="1" x14ac:dyDescent="0.35">
      <c r="B128" s="105"/>
      <c r="C128" s="105"/>
      <c r="D128" s="104" t="s">
        <v>2895</v>
      </c>
      <c r="E128" s="104" t="s">
        <v>5428</v>
      </c>
      <c r="F128" s="62"/>
      <c r="G128" s="26" t="s">
        <v>341</v>
      </c>
    </row>
    <row r="129" spans="2:7" x14ac:dyDescent="0.35">
      <c r="B129" s="105"/>
      <c r="C129" s="105"/>
      <c r="D129" s="4" t="s">
        <v>2206</v>
      </c>
      <c r="E129" s="106"/>
      <c r="F129" s="62"/>
      <c r="G129" s="107"/>
    </row>
    <row r="130" spans="2:7" ht="58" outlineLevel="1" x14ac:dyDescent="0.35">
      <c r="B130" s="105"/>
      <c r="C130" s="105"/>
      <c r="D130" s="104" t="s">
        <v>1187</v>
      </c>
      <c r="E130" s="104" t="s">
        <v>1462</v>
      </c>
      <c r="F130" s="62"/>
      <c r="G130" s="26" t="s">
        <v>341</v>
      </c>
    </row>
    <row r="131" spans="2:7" ht="58" outlineLevel="1" x14ac:dyDescent="0.35">
      <c r="B131" s="105"/>
      <c r="C131" s="105"/>
      <c r="D131" s="104" t="s">
        <v>1259</v>
      </c>
      <c r="E131" s="104" t="s">
        <v>1260</v>
      </c>
      <c r="F131" s="62"/>
      <c r="G131" s="26" t="s">
        <v>341</v>
      </c>
    </row>
    <row r="132" spans="2:7" ht="58" outlineLevel="1" x14ac:dyDescent="0.35">
      <c r="B132" s="84"/>
      <c r="C132" s="85"/>
      <c r="D132" s="104" t="s">
        <v>2229</v>
      </c>
      <c r="E132" s="104" t="s">
        <v>2313</v>
      </c>
      <c r="F132" s="62"/>
      <c r="G132" s="26" t="s">
        <v>341</v>
      </c>
    </row>
    <row r="133" spans="2:7" x14ac:dyDescent="0.35">
      <c r="B133" s="105"/>
      <c r="C133" s="105"/>
      <c r="D133" s="4" t="s">
        <v>2207</v>
      </c>
      <c r="E133" s="106"/>
      <c r="F133" s="62"/>
      <c r="G133" s="107"/>
    </row>
    <row r="134" spans="2:7" outlineLevel="1" x14ac:dyDescent="0.35">
      <c r="B134" s="105"/>
      <c r="C134" s="105"/>
      <c r="D134" s="4" t="s">
        <v>3064</v>
      </c>
      <c r="E134" s="106"/>
      <c r="F134" s="62"/>
      <c r="G134" s="107"/>
    </row>
    <row r="135" spans="2:7" ht="116" outlineLevel="1" x14ac:dyDescent="0.35">
      <c r="B135" s="105"/>
      <c r="C135" s="105"/>
      <c r="D135" s="104" t="s">
        <v>2230</v>
      </c>
      <c r="E135" s="104" t="s">
        <v>1460</v>
      </c>
      <c r="F135" s="62"/>
      <c r="G135" s="26" t="s">
        <v>341</v>
      </c>
    </row>
    <row r="136" spans="2:7" ht="116" outlineLevel="1" x14ac:dyDescent="0.35">
      <c r="B136" s="105"/>
      <c r="C136" s="105"/>
      <c r="D136" s="104" t="s">
        <v>1431</v>
      </c>
      <c r="E136" s="104" t="s">
        <v>1460</v>
      </c>
      <c r="F136" s="62"/>
      <c r="G136" s="26" t="s">
        <v>341</v>
      </c>
    </row>
    <row r="137" spans="2:7" outlineLevel="1" x14ac:dyDescent="0.35">
      <c r="B137" s="105"/>
      <c r="C137" s="105"/>
      <c r="D137" s="4" t="s">
        <v>3065</v>
      </c>
      <c r="E137" s="106"/>
      <c r="F137" s="62"/>
      <c r="G137" s="107"/>
    </row>
    <row r="138" spans="2:7" ht="43.5" outlineLevel="1" x14ac:dyDescent="0.35">
      <c r="B138" s="105"/>
      <c r="C138" s="105"/>
      <c r="D138" s="104" t="s">
        <v>2213</v>
      </c>
      <c r="E138" s="104" t="s">
        <v>2211</v>
      </c>
      <c r="G138" s="26" t="s">
        <v>341</v>
      </c>
    </row>
    <row r="139" spans="2:7" ht="72.5" outlineLevel="1" x14ac:dyDescent="0.35">
      <c r="B139" s="105"/>
      <c r="C139" s="105"/>
      <c r="D139" s="104" t="s">
        <v>2217</v>
      </c>
      <c r="E139" s="104" t="s">
        <v>2218</v>
      </c>
      <c r="F139" s="62"/>
      <c r="G139" s="26" t="s">
        <v>341</v>
      </c>
    </row>
    <row r="140" spans="2:7" ht="87" outlineLevel="1" x14ac:dyDescent="0.35">
      <c r="B140" s="105"/>
      <c r="C140" s="105"/>
      <c r="D140" s="104" t="s">
        <v>3479</v>
      </c>
      <c r="E140" s="104" t="s">
        <v>1932</v>
      </c>
      <c r="F140" s="62"/>
      <c r="G140" s="26" t="s">
        <v>341</v>
      </c>
    </row>
    <row r="141" spans="2:7" ht="29" outlineLevel="1" x14ac:dyDescent="0.35">
      <c r="B141" s="105"/>
      <c r="C141" s="105"/>
      <c r="D141" s="104" t="s">
        <v>5232</v>
      </c>
      <c r="E141" s="104" t="s">
        <v>5233</v>
      </c>
      <c r="F141" s="62"/>
      <c r="G141" s="26" t="s">
        <v>341</v>
      </c>
    </row>
    <row r="142" spans="2:7" outlineLevel="1" x14ac:dyDescent="0.35">
      <c r="B142" s="105"/>
      <c r="C142" s="105"/>
      <c r="D142" s="104" t="s">
        <v>5234</v>
      </c>
      <c r="E142" s="104" t="s">
        <v>5235</v>
      </c>
      <c r="F142" s="62"/>
      <c r="G142" s="26" t="s">
        <v>341</v>
      </c>
    </row>
    <row r="143" spans="2:7" ht="58" outlineLevel="1" x14ac:dyDescent="0.35">
      <c r="B143" s="105"/>
      <c r="C143" s="105"/>
      <c r="D143" s="104" t="s">
        <v>2215</v>
      </c>
      <c r="E143" s="104" t="s">
        <v>2962</v>
      </c>
      <c r="F143" s="62"/>
      <c r="G143" s="26" t="s">
        <v>341</v>
      </c>
    </row>
    <row r="144" spans="2:7" ht="72.5" outlineLevel="1" x14ac:dyDescent="0.35">
      <c r="B144" s="105"/>
      <c r="C144" s="105"/>
      <c r="D144" s="104" t="s">
        <v>2216</v>
      </c>
      <c r="E144" s="104" t="s">
        <v>2219</v>
      </c>
      <c r="F144" s="62"/>
      <c r="G144" s="26" t="s">
        <v>341</v>
      </c>
    </row>
    <row r="145" spans="2:7" ht="58" outlineLevel="1" x14ac:dyDescent="0.35">
      <c r="B145" s="105"/>
      <c r="C145" s="105"/>
      <c r="D145" s="108" t="s">
        <v>2220</v>
      </c>
      <c r="E145" s="104" t="s">
        <v>4051</v>
      </c>
      <c r="F145" s="62"/>
      <c r="G145" s="26" t="s">
        <v>341</v>
      </c>
    </row>
    <row r="146" spans="2:7" ht="43.5" outlineLevel="1" x14ac:dyDescent="0.35">
      <c r="B146" s="105"/>
      <c r="C146" s="105"/>
      <c r="D146" s="104" t="s">
        <v>3480</v>
      </c>
      <c r="E146" s="104" t="s">
        <v>348</v>
      </c>
      <c r="F146" s="62"/>
      <c r="G146" s="26" t="s">
        <v>341</v>
      </c>
    </row>
    <row r="147" spans="2:7" ht="58" outlineLevel="1" x14ac:dyDescent="0.35">
      <c r="B147" s="105"/>
      <c r="C147" s="105"/>
      <c r="D147" s="104" t="s">
        <v>2307</v>
      </c>
      <c r="E147" s="104" t="s">
        <v>3931</v>
      </c>
      <c r="F147" s="62"/>
      <c r="G147" s="26" t="s">
        <v>341</v>
      </c>
    </row>
    <row r="148" spans="2:7" ht="43.5" outlineLevel="1" x14ac:dyDescent="0.35">
      <c r="B148" s="105"/>
      <c r="C148" s="105"/>
      <c r="D148" s="104" t="s">
        <v>2214</v>
      </c>
      <c r="E148" s="104" t="s">
        <v>2205</v>
      </c>
      <c r="G148" s="26" t="s">
        <v>341</v>
      </c>
    </row>
    <row r="149" spans="2:7" outlineLevel="1" x14ac:dyDescent="0.35">
      <c r="B149" s="105"/>
      <c r="C149" s="105"/>
      <c r="D149" s="4" t="s">
        <v>3122</v>
      </c>
      <c r="E149" s="106"/>
      <c r="F149" s="62"/>
      <c r="G149" s="107"/>
    </row>
    <row r="150" spans="2:7" ht="58" outlineLevel="1" x14ac:dyDescent="0.35">
      <c r="B150" s="105"/>
      <c r="C150" s="105"/>
      <c r="D150" s="104" t="s">
        <v>2209</v>
      </c>
      <c r="E150" s="104" t="s">
        <v>2212</v>
      </c>
      <c r="G150" s="26" t="s">
        <v>341</v>
      </c>
    </row>
    <row r="151" spans="2:7" ht="72.5" outlineLevel="1" x14ac:dyDescent="0.35">
      <c r="B151" s="105"/>
      <c r="C151" s="105"/>
      <c r="D151" s="104" t="s">
        <v>2210</v>
      </c>
      <c r="E151" s="104" t="s">
        <v>1996</v>
      </c>
      <c r="G151" s="26" t="s">
        <v>341</v>
      </c>
    </row>
    <row r="152" spans="2:7" ht="43.5" outlineLevel="1" x14ac:dyDescent="0.35">
      <c r="B152" s="106"/>
      <c r="C152" s="106"/>
      <c r="D152" s="104" t="s">
        <v>2847</v>
      </c>
      <c r="E152" s="104" t="s">
        <v>3942</v>
      </c>
      <c r="F152" s="62"/>
      <c r="G152" s="26" t="s">
        <v>341</v>
      </c>
    </row>
    <row r="153" spans="2:7" ht="72.5" outlineLevel="1" x14ac:dyDescent="0.35">
      <c r="B153" s="106"/>
      <c r="C153" s="106"/>
      <c r="D153" s="104" t="s">
        <v>2237</v>
      </c>
      <c r="E153" s="104" t="s">
        <v>2970</v>
      </c>
      <c r="F153" s="62"/>
      <c r="G153" s="26" t="s">
        <v>341</v>
      </c>
    </row>
    <row r="154" spans="2:7" ht="72.5" outlineLevel="1" x14ac:dyDescent="0.35">
      <c r="B154" s="106"/>
      <c r="C154" s="106"/>
      <c r="D154" s="104" t="s">
        <v>2235</v>
      </c>
      <c r="E154" s="104" t="s">
        <v>2314</v>
      </c>
      <c r="F154" s="62"/>
      <c r="G154" s="26" t="s">
        <v>341</v>
      </c>
    </row>
    <row r="155" spans="2:7" ht="58" outlineLevel="1" x14ac:dyDescent="0.35">
      <c r="B155" s="106"/>
      <c r="C155" s="106"/>
      <c r="D155" s="104" t="s">
        <v>2224</v>
      </c>
      <c r="E155" s="104" t="s">
        <v>2736</v>
      </c>
      <c r="F155" s="62"/>
      <c r="G155" s="26" t="s">
        <v>341</v>
      </c>
    </row>
    <row r="156" spans="2:7" ht="43.5" outlineLevel="1" x14ac:dyDescent="0.35">
      <c r="B156" s="106"/>
      <c r="C156" s="106"/>
      <c r="D156" s="104" t="s">
        <v>2840</v>
      </c>
      <c r="E156" s="104" t="s">
        <v>1708</v>
      </c>
      <c r="F156" s="62"/>
      <c r="G156" s="26" t="s">
        <v>341</v>
      </c>
    </row>
    <row r="157" spans="2:7" ht="87" outlineLevel="1" x14ac:dyDescent="0.35">
      <c r="B157" s="106"/>
      <c r="C157" s="106"/>
      <c r="D157" s="104" t="s">
        <v>2233</v>
      </c>
      <c r="E157" s="104" t="s">
        <v>1709</v>
      </c>
      <c r="F157" s="62"/>
      <c r="G157" s="26" t="s">
        <v>341</v>
      </c>
    </row>
    <row r="158" spans="2:7" ht="58" outlineLevel="1" x14ac:dyDescent="0.35">
      <c r="B158" s="106"/>
      <c r="C158" s="106"/>
      <c r="D158" s="104" t="s">
        <v>3481</v>
      </c>
      <c r="E158" s="104" t="s">
        <v>1707</v>
      </c>
      <c r="F158" s="62"/>
      <c r="G158" s="26" t="s">
        <v>341</v>
      </c>
    </row>
    <row r="159" spans="2:7" ht="43.5" outlineLevel="1" x14ac:dyDescent="0.35">
      <c r="B159" s="106"/>
      <c r="C159" s="106"/>
      <c r="D159" s="104" t="s">
        <v>3482</v>
      </c>
      <c r="E159" s="104" t="s">
        <v>1261</v>
      </c>
      <c r="F159" s="62"/>
      <c r="G159" s="26" t="s">
        <v>341</v>
      </c>
    </row>
    <row r="160" spans="2:7" ht="29" outlineLevel="1" x14ac:dyDescent="0.35">
      <c r="B160" s="106"/>
      <c r="C160" s="106"/>
      <c r="D160" s="104" t="s">
        <v>2225</v>
      </c>
      <c r="E160" s="104" t="s">
        <v>2315</v>
      </c>
      <c r="F160" s="62"/>
      <c r="G160" s="26" t="s">
        <v>341</v>
      </c>
    </row>
    <row r="161" spans="2:7" ht="43.5" outlineLevel="1" x14ac:dyDescent="0.35">
      <c r="B161" s="106"/>
      <c r="C161" s="106"/>
      <c r="D161" s="104" t="s">
        <v>2231</v>
      </c>
      <c r="E161" s="104" t="s">
        <v>2310</v>
      </c>
      <c r="F161" s="62"/>
      <c r="G161" s="26" t="s">
        <v>341</v>
      </c>
    </row>
    <row r="162" spans="2:7" ht="72.5" outlineLevel="1" x14ac:dyDescent="0.35">
      <c r="B162" s="106"/>
      <c r="C162" s="106"/>
      <c r="D162" s="104" t="s">
        <v>2603</v>
      </c>
      <c r="E162" s="104" t="s">
        <v>2312</v>
      </c>
      <c r="F162" s="62"/>
      <c r="G162" s="26" t="s">
        <v>341</v>
      </c>
    </row>
    <row r="163" spans="2:7" outlineLevel="1" x14ac:dyDescent="0.35">
      <c r="B163" s="105"/>
      <c r="C163" s="105"/>
      <c r="D163" s="4" t="s">
        <v>3123</v>
      </c>
      <c r="E163" s="106"/>
      <c r="F163" s="62"/>
      <c r="G163" s="107"/>
    </row>
    <row r="164" spans="2:7" ht="29" outlineLevel="1" x14ac:dyDescent="0.35">
      <c r="B164" s="105"/>
      <c r="C164" s="105"/>
      <c r="D164" s="104" t="s">
        <v>1176</v>
      </c>
      <c r="E164" s="104" t="s">
        <v>1175</v>
      </c>
      <c r="F164" s="62"/>
      <c r="G164" s="26" t="s">
        <v>341</v>
      </c>
    </row>
    <row r="165" spans="2:7" ht="43.5" outlineLevel="1" x14ac:dyDescent="0.35">
      <c r="B165" s="105"/>
      <c r="C165" s="105"/>
      <c r="D165" s="104" t="s">
        <v>1169</v>
      </c>
      <c r="E165" s="104" t="s">
        <v>1172</v>
      </c>
      <c r="F165" s="62"/>
      <c r="G165" s="26" t="s">
        <v>341</v>
      </c>
    </row>
    <row r="166" spans="2:7" ht="42.5" customHeight="1" outlineLevel="1" x14ac:dyDescent="0.35">
      <c r="B166" s="105"/>
      <c r="C166" s="105"/>
      <c r="D166" s="104" t="s">
        <v>3483</v>
      </c>
      <c r="E166" s="104" t="s">
        <v>1258</v>
      </c>
      <c r="F166" s="62"/>
      <c r="G166" s="26" t="s">
        <v>341</v>
      </c>
    </row>
    <row r="167" spans="2:7" ht="43.5" outlineLevel="1" x14ac:dyDescent="0.35">
      <c r="B167" s="105"/>
      <c r="C167" s="105"/>
      <c r="D167" s="104" t="s">
        <v>1170</v>
      </c>
      <c r="E167" s="104" t="s">
        <v>2459</v>
      </c>
      <c r="F167" s="62"/>
      <c r="G167" s="26" t="s">
        <v>341</v>
      </c>
    </row>
    <row r="168" spans="2:7" ht="72.5" outlineLevel="1" x14ac:dyDescent="0.35">
      <c r="B168" s="105"/>
      <c r="C168" s="105"/>
      <c r="D168" s="104" t="s">
        <v>1174</v>
      </c>
      <c r="E168" s="104" t="s">
        <v>1256</v>
      </c>
      <c r="F168" s="62"/>
      <c r="G168" s="26" t="s">
        <v>341</v>
      </c>
    </row>
    <row r="169" spans="2:7" ht="43.5" outlineLevel="1" x14ac:dyDescent="0.35">
      <c r="B169" s="105"/>
      <c r="C169" s="105"/>
      <c r="D169" s="104" t="s">
        <v>1173</v>
      </c>
      <c r="E169" s="104" t="s">
        <v>1257</v>
      </c>
      <c r="F169" s="62"/>
      <c r="G169" s="26" t="s">
        <v>341</v>
      </c>
    </row>
    <row r="170" spans="2:7" ht="29" outlineLevel="1" x14ac:dyDescent="0.35">
      <c r="B170" s="105"/>
      <c r="C170" s="105"/>
      <c r="D170" s="104" t="s">
        <v>2842</v>
      </c>
      <c r="E170" s="104" t="s">
        <v>1171</v>
      </c>
      <c r="F170" s="62"/>
      <c r="G170" s="26" t="s">
        <v>341</v>
      </c>
    </row>
    <row r="171" spans="2:7" ht="29" outlineLevel="1" x14ac:dyDescent="0.35">
      <c r="B171" s="105"/>
      <c r="C171" s="105"/>
      <c r="D171" s="104" t="s">
        <v>1255</v>
      </c>
      <c r="E171" s="104" t="s">
        <v>1177</v>
      </c>
      <c r="F171" s="62"/>
      <c r="G171" s="26" t="s">
        <v>341</v>
      </c>
    </row>
    <row r="172" spans="2:7" outlineLevel="1" x14ac:dyDescent="0.35">
      <c r="B172" s="105"/>
      <c r="C172" s="105"/>
      <c r="D172" s="4" t="s">
        <v>3124</v>
      </c>
      <c r="E172" s="106"/>
      <c r="F172" s="62"/>
      <c r="G172" s="107"/>
    </row>
    <row r="173" spans="2:7" ht="87" outlineLevel="1" x14ac:dyDescent="0.35">
      <c r="B173" s="105"/>
      <c r="C173" s="105"/>
      <c r="D173" s="104" t="s">
        <v>3066</v>
      </c>
      <c r="E173" s="104" t="s">
        <v>3958</v>
      </c>
      <c r="G173" s="26" t="s">
        <v>341</v>
      </c>
    </row>
    <row r="174" spans="2:7" ht="74.5" customHeight="1" outlineLevel="1" x14ac:dyDescent="0.35">
      <c r="B174" s="105"/>
      <c r="C174" s="105"/>
      <c r="D174" s="104" t="s">
        <v>3067</v>
      </c>
      <c r="E174" s="104" t="s">
        <v>2880</v>
      </c>
      <c r="G174" s="26" t="s">
        <v>341</v>
      </c>
    </row>
    <row r="175" spans="2:7" ht="58" outlineLevel="1" x14ac:dyDescent="0.35">
      <c r="B175" s="105"/>
      <c r="C175" s="105"/>
      <c r="D175" s="87" t="s">
        <v>3120</v>
      </c>
      <c r="E175" s="104" t="s">
        <v>2762</v>
      </c>
      <c r="G175" s="26" t="s">
        <v>341</v>
      </c>
    </row>
    <row r="176" spans="2:7" x14ac:dyDescent="0.35">
      <c r="B176" s="105"/>
      <c r="C176" s="105"/>
      <c r="D176" s="4" t="s">
        <v>3849</v>
      </c>
      <c r="E176" s="85"/>
      <c r="G176" s="103"/>
    </row>
    <row r="177" spans="2:7" ht="46.5" customHeight="1" outlineLevel="1" x14ac:dyDescent="0.35">
      <c r="B177" s="106"/>
      <c r="C177" s="106"/>
      <c r="D177" s="104" t="s">
        <v>3334</v>
      </c>
      <c r="E177" s="104" t="s">
        <v>3333</v>
      </c>
      <c r="F177" s="62"/>
      <c r="G177" s="26" t="s">
        <v>341</v>
      </c>
    </row>
    <row r="178" spans="2:7" ht="43.5" outlineLevel="1" x14ac:dyDescent="0.35">
      <c r="B178" s="106"/>
      <c r="C178" s="106"/>
      <c r="D178" s="104" t="s">
        <v>2556</v>
      </c>
      <c r="E178" s="104" t="s">
        <v>2558</v>
      </c>
      <c r="F178" s="62"/>
      <c r="G178" s="26" t="s">
        <v>341</v>
      </c>
    </row>
    <row r="179" spans="2:7" ht="72.5" outlineLevel="1" x14ac:dyDescent="0.35">
      <c r="B179" s="106"/>
      <c r="C179" s="106"/>
      <c r="D179" s="104" t="s">
        <v>3342</v>
      </c>
      <c r="E179" s="104" t="s">
        <v>3343</v>
      </c>
      <c r="F179" s="62"/>
      <c r="G179" s="26" t="s">
        <v>341</v>
      </c>
    </row>
    <row r="180" spans="2:7" ht="72" customHeight="1" outlineLevel="1" x14ac:dyDescent="0.35">
      <c r="B180" s="106"/>
      <c r="C180" s="106"/>
      <c r="D180" s="104" t="s">
        <v>3335</v>
      </c>
      <c r="E180" s="104" t="s">
        <v>3344</v>
      </c>
      <c r="F180" s="62"/>
      <c r="G180" s="26" t="s">
        <v>341</v>
      </c>
    </row>
    <row r="181" spans="2:7" ht="43.5" outlineLevel="1" x14ac:dyDescent="0.35">
      <c r="B181" s="106"/>
      <c r="C181" s="106"/>
      <c r="D181" s="104" t="s">
        <v>3336</v>
      </c>
      <c r="E181" s="104" t="s">
        <v>3345</v>
      </c>
      <c r="F181" s="62"/>
      <c r="G181" s="26" t="s">
        <v>341</v>
      </c>
    </row>
    <row r="182" spans="2:7" ht="58" outlineLevel="1" x14ac:dyDescent="0.35">
      <c r="B182" s="106"/>
      <c r="C182" s="106"/>
      <c r="D182" s="104" t="s">
        <v>3337</v>
      </c>
      <c r="E182" s="104" t="s">
        <v>3346</v>
      </c>
      <c r="F182" s="62"/>
      <c r="G182" s="26" t="s">
        <v>341</v>
      </c>
    </row>
    <row r="183" spans="2:7" ht="43.5" outlineLevel="1" x14ac:dyDescent="0.35">
      <c r="B183" s="106"/>
      <c r="C183" s="106"/>
      <c r="D183" s="104" t="s">
        <v>3338</v>
      </c>
      <c r="E183" s="104" t="s">
        <v>3347</v>
      </c>
      <c r="F183" s="62"/>
      <c r="G183" s="26" t="s">
        <v>341</v>
      </c>
    </row>
    <row r="184" spans="2:7" ht="72.5" outlineLevel="1" x14ac:dyDescent="0.35">
      <c r="B184" s="106"/>
      <c r="C184" s="106"/>
      <c r="D184" s="104" t="s">
        <v>3339</v>
      </c>
      <c r="E184" s="104" t="s">
        <v>2672</v>
      </c>
      <c r="F184" s="62"/>
      <c r="G184" s="26" t="s">
        <v>341</v>
      </c>
    </row>
    <row r="185" spans="2:7" ht="43.5" outlineLevel="1" x14ac:dyDescent="0.35">
      <c r="B185" s="106"/>
      <c r="C185" s="106"/>
      <c r="D185" s="104" t="s">
        <v>3340</v>
      </c>
      <c r="E185" s="104" t="s">
        <v>3348</v>
      </c>
      <c r="F185" s="62"/>
      <c r="G185" s="26" t="s">
        <v>341</v>
      </c>
    </row>
    <row r="186" spans="2:7" ht="58" outlineLevel="1" x14ac:dyDescent="0.35">
      <c r="B186" s="106"/>
      <c r="C186" s="106"/>
      <c r="D186" s="104" t="s">
        <v>2557</v>
      </c>
      <c r="E186" s="104" t="s">
        <v>2559</v>
      </c>
      <c r="F186" s="62"/>
      <c r="G186" s="26" t="s">
        <v>341</v>
      </c>
    </row>
    <row r="187" spans="2:7" ht="58" outlineLevel="1" x14ac:dyDescent="0.35">
      <c r="B187" s="106"/>
      <c r="C187" s="106"/>
      <c r="D187" s="104" t="s">
        <v>3341</v>
      </c>
      <c r="E187" s="104" t="s">
        <v>3349</v>
      </c>
      <c r="F187" s="62"/>
      <c r="G187" s="26" t="s">
        <v>341</v>
      </c>
    </row>
    <row r="188" spans="2:7" x14ac:dyDescent="0.35">
      <c r="B188" s="84"/>
      <c r="C188" s="84" t="s">
        <v>3776</v>
      </c>
      <c r="D188" s="85"/>
      <c r="E188" s="85"/>
      <c r="F188" s="62"/>
      <c r="G188" s="88"/>
    </row>
    <row r="189" spans="2:7" x14ac:dyDescent="0.35">
      <c r="B189" s="105"/>
      <c r="C189" s="84" t="s">
        <v>3777</v>
      </c>
      <c r="D189" s="85"/>
      <c r="E189" s="106"/>
      <c r="F189" s="62"/>
      <c r="G189" s="23">
        <f>COUNTIF(G190:G218,"Yes")</f>
        <v>20</v>
      </c>
    </row>
    <row r="190" spans="2:7" x14ac:dyDescent="0.35">
      <c r="B190" s="77"/>
      <c r="C190" s="77"/>
      <c r="D190" s="75" t="s">
        <v>3778</v>
      </c>
      <c r="E190" s="2"/>
      <c r="G190" s="88"/>
    </row>
    <row r="191" spans="2:7" ht="72.5" outlineLevel="1" collapsed="1" x14ac:dyDescent="0.35">
      <c r="B191" s="2"/>
      <c r="C191" s="77"/>
      <c r="D191" s="21" t="s">
        <v>1867</v>
      </c>
      <c r="E191" s="21" t="s">
        <v>1868</v>
      </c>
      <c r="F191" s="62"/>
      <c r="G191" s="26" t="s">
        <v>341</v>
      </c>
    </row>
    <row r="192" spans="2:7" ht="43.5" outlineLevel="1" x14ac:dyDescent="0.35">
      <c r="B192" s="2"/>
      <c r="C192" s="77"/>
      <c r="D192" s="21" t="s">
        <v>1869</v>
      </c>
      <c r="E192" s="21" t="s">
        <v>1951</v>
      </c>
      <c r="F192" s="62"/>
      <c r="G192" s="26" t="s">
        <v>341</v>
      </c>
    </row>
    <row r="193" spans="2:7" x14ac:dyDescent="0.35">
      <c r="B193" s="77"/>
      <c r="C193" s="77"/>
      <c r="D193" s="75" t="s">
        <v>3782</v>
      </c>
      <c r="E193" s="2"/>
      <c r="G193" s="88"/>
    </row>
    <row r="194" spans="2:7" outlineLevel="1" collapsed="1" x14ac:dyDescent="0.35">
      <c r="B194" s="2"/>
      <c r="C194" s="77"/>
      <c r="D194" s="75" t="s">
        <v>3779</v>
      </c>
      <c r="E194" s="21"/>
      <c r="F194" s="62"/>
      <c r="G194" s="88"/>
    </row>
    <row r="195" spans="2:7" ht="43.5" outlineLevel="1" x14ac:dyDescent="0.35">
      <c r="B195" s="2"/>
      <c r="C195" s="77"/>
      <c r="D195" s="21" t="s">
        <v>1992</v>
      </c>
      <c r="E195" s="21" t="s">
        <v>1993</v>
      </c>
      <c r="F195" s="62"/>
      <c r="G195" s="26" t="s">
        <v>341</v>
      </c>
    </row>
    <row r="196" spans="2:7" ht="43.5" outlineLevel="1" x14ac:dyDescent="0.35">
      <c r="B196" s="2"/>
      <c r="C196" s="77"/>
      <c r="D196" s="21" t="s">
        <v>2393</v>
      </c>
      <c r="E196" s="21" t="s">
        <v>2211</v>
      </c>
      <c r="F196" s="62"/>
      <c r="G196" s="26" t="s">
        <v>341</v>
      </c>
    </row>
    <row r="197" spans="2:7" ht="43.5" outlineLevel="1" x14ac:dyDescent="0.35">
      <c r="B197" s="2"/>
      <c r="C197" s="77"/>
      <c r="D197" s="21" t="s">
        <v>2392</v>
      </c>
      <c r="E197" s="21" t="s">
        <v>2205</v>
      </c>
      <c r="F197" s="62"/>
      <c r="G197" s="26" t="s">
        <v>341</v>
      </c>
    </row>
    <row r="198" spans="2:7" outlineLevel="1" collapsed="1" x14ac:dyDescent="0.35">
      <c r="B198" s="2"/>
      <c r="C198" s="77"/>
      <c r="D198" s="75" t="s">
        <v>3780</v>
      </c>
      <c r="E198" s="21"/>
      <c r="F198" s="62"/>
      <c r="G198" s="88"/>
    </row>
    <row r="199" spans="2:7" ht="58" outlineLevel="1" x14ac:dyDescent="0.35">
      <c r="B199" s="2"/>
      <c r="C199" s="77"/>
      <c r="D199" s="21" t="s">
        <v>1994</v>
      </c>
      <c r="E199" s="21" t="s">
        <v>1995</v>
      </c>
      <c r="F199" s="62"/>
      <c r="G199" s="26" t="s">
        <v>341</v>
      </c>
    </row>
    <row r="200" spans="2:7" ht="43.5" outlineLevel="1" x14ac:dyDescent="0.35">
      <c r="B200" s="2"/>
      <c r="C200" s="77"/>
      <c r="D200" s="21" t="s">
        <v>2323</v>
      </c>
      <c r="E200" s="21" t="s">
        <v>2324</v>
      </c>
      <c r="F200" s="62"/>
      <c r="G200" s="26" t="s">
        <v>341</v>
      </c>
    </row>
    <row r="201" spans="2:7" ht="58" outlineLevel="1" x14ac:dyDescent="0.35">
      <c r="B201" s="2"/>
      <c r="C201" s="77"/>
      <c r="D201" s="21" t="s">
        <v>2391</v>
      </c>
      <c r="E201" s="104" t="s">
        <v>2212</v>
      </c>
      <c r="F201" s="62"/>
      <c r="G201" s="26" t="s">
        <v>341</v>
      </c>
    </row>
    <row r="202" spans="2:7" ht="72.5" outlineLevel="1" collapsed="1" x14ac:dyDescent="0.35">
      <c r="B202" s="2"/>
      <c r="C202" s="77"/>
      <c r="D202" s="21" t="s">
        <v>2390</v>
      </c>
      <c r="E202" s="21" t="s">
        <v>1996</v>
      </c>
      <c r="F202" s="62"/>
      <c r="G202" s="26" t="s">
        <v>341</v>
      </c>
    </row>
    <row r="203" spans="2:7" outlineLevel="1" x14ac:dyDescent="0.35">
      <c r="B203" s="2"/>
      <c r="C203" s="77"/>
      <c r="D203" s="75" t="s">
        <v>3781</v>
      </c>
      <c r="E203" s="21"/>
      <c r="F203" s="62"/>
      <c r="G203" s="88"/>
    </row>
    <row r="204" spans="2:7" ht="43.5" outlineLevel="1" x14ac:dyDescent="0.35">
      <c r="B204" s="2"/>
      <c r="C204" s="77"/>
      <c r="D204" s="21" t="s">
        <v>3125</v>
      </c>
      <c r="E204" s="21" t="s">
        <v>2328</v>
      </c>
      <c r="F204" s="62"/>
      <c r="G204" s="26" t="s">
        <v>341</v>
      </c>
    </row>
    <row r="205" spans="2:7" ht="43.5" outlineLevel="1" x14ac:dyDescent="0.35">
      <c r="B205" s="2"/>
      <c r="C205" s="77"/>
      <c r="D205" s="21" t="s">
        <v>2028</v>
      </c>
      <c r="E205" s="21" t="s">
        <v>2031</v>
      </c>
      <c r="F205" s="62"/>
      <c r="G205" s="26" t="s">
        <v>341</v>
      </c>
    </row>
    <row r="206" spans="2:7" x14ac:dyDescent="0.35">
      <c r="B206" s="77"/>
      <c r="C206" s="77"/>
      <c r="D206" s="75" t="s">
        <v>3783</v>
      </c>
      <c r="E206" s="2"/>
      <c r="G206" s="88"/>
    </row>
    <row r="207" spans="2:7" outlineLevel="1" collapsed="1" x14ac:dyDescent="0.35">
      <c r="B207" s="2"/>
      <c r="C207" s="77"/>
      <c r="D207" s="75" t="s">
        <v>3784</v>
      </c>
      <c r="E207" s="21"/>
      <c r="F207" s="62"/>
      <c r="G207" s="88"/>
    </row>
    <row r="208" spans="2:7" ht="58" outlineLevel="1" x14ac:dyDescent="0.35">
      <c r="B208" s="2"/>
      <c r="C208" s="77"/>
      <c r="D208" s="21" t="s">
        <v>2241</v>
      </c>
      <c r="E208" s="21" t="s">
        <v>3027</v>
      </c>
      <c r="F208" s="62"/>
      <c r="G208" s="26" t="s">
        <v>341</v>
      </c>
    </row>
    <row r="209" spans="2:7" ht="43.5" outlineLevel="1" x14ac:dyDescent="0.35">
      <c r="B209" s="2"/>
      <c r="C209" s="77"/>
      <c r="D209" s="21" t="s">
        <v>2393</v>
      </c>
      <c r="E209" s="21" t="s">
        <v>2211</v>
      </c>
      <c r="F209" s="62"/>
      <c r="G209" s="26" t="s">
        <v>341</v>
      </c>
    </row>
    <row r="210" spans="2:7" ht="43.5" outlineLevel="1" x14ac:dyDescent="0.35">
      <c r="B210" s="2"/>
      <c r="C210" s="77"/>
      <c r="D210" s="21" t="s">
        <v>2392</v>
      </c>
      <c r="E210" s="21" t="s">
        <v>2205</v>
      </c>
      <c r="F210" s="62"/>
      <c r="G210" s="26" t="s">
        <v>341</v>
      </c>
    </row>
    <row r="211" spans="2:7" outlineLevel="1" x14ac:dyDescent="0.35">
      <c r="B211" s="2"/>
      <c r="C211" s="77"/>
      <c r="D211" s="75" t="s">
        <v>3785</v>
      </c>
      <c r="E211" s="21"/>
      <c r="F211" s="62"/>
      <c r="G211" s="88"/>
    </row>
    <row r="212" spans="2:7" ht="58" outlineLevel="1" collapsed="1" x14ac:dyDescent="0.35">
      <c r="B212" s="2"/>
      <c r="C212" s="77"/>
      <c r="D212" s="21" t="s">
        <v>2242</v>
      </c>
      <c r="E212" s="21" t="s">
        <v>2243</v>
      </c>
      <c r="F212" s="62"/>
      <c r="G212" s="26" t="s">
        <v>341</v>
      </c>
    </row>
    <row r="213" spans="2:7" ht="58" outlineLevel="1" x14ac:dyDescent="0.35">
      <c r="B213" s="2"/>
      <c r="C213" s="77"/>
      <c r="D213" s="21" t="s">
        <v>2391</v>
      </c>
      <c r="E213" s="104" t="s">
        <v>2212</v>
      </c>
      <c r="F213" s="62"/>
      <c r="G213" s="26" t="s">
        <v>341</v>
      </c>
    </row>
    <row r="214" spans="2:7" ht="72.5" outlineLevel="1" x14ac:dyDescent="0.35">
      <c r="B214" s="2"/>
      <c r="C214" s="77"/>
      <c r="D214" s="21" t="s">
        <v>2390</v>
      </c>
      <c r="E214" s="21" t="s">
        <v>1996</v>
      </c>
      <c r="F214" s="62"/>
      <c r="G214" s="26" t="s">
        <v>341</v>
      </c>
    </row>
    <row r="215" spans="2:7" outlineLevel="1" x14ac:dyDescent="0.35">
      <c r="B215" s="2"/>
      <c r="C215" s="77"/>
      <c r="D215" s="75" t="s">
        <v>3786</v>
      </c>
      <c r="E215" s="21"/>
      <c r="F215" s="62"/>
      <c r="G215" s="88"/>
    </row>
    <row r="216" spans="2:7" ht="174" outlineLevel="1" x14ac:dyDescent="0.35">
      <c r="B216" s="2"/>
      <c r="C216" s="77"/>
      <c r="D216" s="21" t="s">
        <v>2329</v>
      </c>
      <c r="E216" s="21" t="s">
        <v>3200</v>
      </c>
      <c r="F216" s="62"/>
      <c r="G216" s="26" t="s">
        <v>341</v>
      </c>
    </row>
    <row r="217" spans="2:7" ht="159.5" outlineLevel="1" collapsed="1" x14ac:dyDescent="0.35">
      <c r="B217" s="2"/>
      <c r="C217" s="77"/>
      <c r="D217" s="21" t="s">
        <v>2948</v>
      </c>
      <c r="E217" s="21" t="s">
        <v>3228</v>
      </c>
      <c r="F217" s="62"/>
      <c r="G217" s="26" t="s">
        <v>341</v>
      </c>
    </row>
    <row r="218" spans="2:7" ht="87" outlineLevel="1" x14ac:dyDescent="0.35">
      <c r="B218" s="2"/>
      <c r="C218" s="77"/>
      <c r="D218" s="21" t="s">
        <v>3226</v>
      </c>
      <c r="E218" s="21" t="s">
        <v>2949</v>
      </c>
      <c r="F218" s="62"/>
      <c r="G218" s="26" t="s">
        <v>341</v>
      </c>
    </row>
    <row r="219" spans="2:7" x14ac:dyDescent="0.35">
      <c r="B219" s="105"/>
      <c r="C219" s="84" t="s">
        <v>3787</v>
      </c>
      <c r="D219" s="85"/>
      <c r="E219" s="106"/>
      <c r="F219" s="62"/>
      <c r="G219" s="23">
        <f>COUNTIF(G220:G234,"Yes")</f>
        <v>11</v>
      </c>
    </row>
    <row r="220" spans="2:7" x14ac:dyDescent="0.35">
      <c r="B220" s="77"/>
      <c r="C220" s="77"/>
      <c r="D220" s="75" t="s">
        <v>3788</v>
      </c>
      <c r="E220" s="2"/>
      <c r="G220" s="88"/>
    </row>
    <row r="221" spans="2:7" outlineLevel="1" x14ac:dyDescent="0.35">
      <c r="B221" s="105"/>
      <c r="C221" s="105"/>
      <c r="D221" s="4" t="s">
        <v>3789</v>
      </c>
      <c r="E221" s="104"/>
      <c r="F221" s="62"/>
      <c r="G221" s="103"/>
    </row>
    <row r="222" spans="2:7" ht="58" outlineLevel="1" x14ac:dyDescent="0.35">
      <c r="B222" s="105"/>
      <c r="C222" s="105"/>
      <c r="D222" s="104" t="s">
        <v>1736</v>
      </c>
      <c r="E222" s="104" t="s">
        <v>2967</v>
      </c>
      <c r="F222" s="62"/>
      <c r="G222" s="26" t="s">
        <v>341</v>
      </c>
    </row>
    <row r="223" spans="2:7" ht="101.5" outlineLevel="1" x14ac:dyDescent="0.35">
      <c r="B223" s="105"/>
      <c r="C223" s="105"/>
      <c r="D223" s="104" t="s">
        <v>1729</v>
      </c>
      <c r="E223" s="104" t="s">
        <v>3203</v>
      </c>
      <c r="F223" s="62"/>
      <c r="G223" s="26" t="s">
        <v>341</v>
      </c>
    </row>
    <row r="224" spans="2:7" ht="58" outlineLevel="1" x14ac:dyDescent="0.35">
      <c r="B224" s="105"/>
      <c r="C224" s="105"/>
      <c r="D224" s="104" t="s">
        <v>1732</v>
      </c>
      <c r="E224" s="104" t="s">
        <v>2968</v>
      </c>
      <c r="F224" s="62"/>
      <c r="G224" s="26" t="s">
        <v>341</v>
      </c>
    </row>
    <row r="225" spans="2:7" outlineLevel="1" x14ac:dyDescent="0.35">
      <c r="B225" s="105"/>
      <c r="C225" s="105"/>
      <c r="D225" s="4" t="s">
        <v>3790</v>
      </c>
      <c r="E225" s="104"/>
      <c r="F225" s="62"/>
      <c r="G225" s="103"/>
    </row>
    <row r="226" spans="2:7" ht="58" outlineLevel="1" x14ac:dyDescent="0.35">
      <c r="B226" s="105"/>
      <c r="C226" s="105"/>
      <c r="D226" s="104" t="s">
        <v>1737</v>
      </c>
      <c r="E226" s="104" t="s">
        <v>2973</v>
      </c>
      <c r="F226" s="62"/>
      <c r="G226" s="26" t="s">
        <v>341</v>
      </c>
    </row>
    <row r="227" spans="2:7" ht="72.5" outlineLevel="1" x14ac:dyDescent="0.35">
      <c r="B227" s="105"/>
      <c r="C227" s="105"/>
      <c r="D227" s="104" t="s">
        <v>1730</v>
      </c>
      <c r="E227" s="104" t="s">
        <v>3204</v>
      </c>
      <c r="F227" s="62"/>
      <c r="G227" s="26" t="s">
        <v>341</v>
      </c>
    </row>
    <row r="228" spans="2:7" ht="43.5" outlineLevel="1" x14ac:dyDescent="0.35">
      <c r="B228" s="105"/>
      <c r="C228" s="105"/>
      <c r="D228" s="104" t="s">
        <v>1770</v>
      </c>
      <c r="E228" s="104" t="s">
        <v>1771</v>
      </c>
      <c r="F228" s="62"/>
      <c r="G228" s="26" t="s">
        <v>341</v>
      </c>
    </row>
    <row r="229" spans="2:7" outlineLevel="1" x14ac:dyDescent="0.35">
      <c r="B229" s="105"/>
      <c r="C229" s="105"/>
      <c r="D229" s="4" t="s">
        <v>3791</v>
      </c>
      <c r="E229" s="104"/>
      <c r="F229" s="62"/>
      <c r="G229" s="103"/>
    </row>
    <row r="230" spans="2:7" ht="58" outlineLevel="1" x14ac:dyDescent="0.35">
      <c r="B230" s="105"/>
      <c r="C230" s="105"/>
      <c r="D230" s="104" t="s">
        <v>1734</v>
      </c>
      <c r="E230" s="104" t="s">
        <v>1735</v>
      </c>
      <c r="F230" s="62"/>
      <c r="G230" s="26" t="s">
        <v>341</v>
      </c>
    </row>
    <row r="231" spans="2:7" ht="87" outlineLevel="1" x14ac:dyDescent="0.35">
      <c r="B231" s="105"/>
      <c r="C231" s="105"/>
      <c r="D231" s="104" t="s">
        <v>1731</v>
      </c>
      <c r="E231" s="104" t="s">
        <v>3051</v>
      </c>
      <c r="F231" s="62"/>
      <c r="G231" s="26" t="s">
        <v>341</v>
      </c>
    </row>
    <row r="232" spans="2:7" ht="72.5" outlineLevel="1" x14ac:dyDescent="0.35">
      <c r="B232" s="84"/>
      <c r="C232" s="85"/>
      <c r="D232" s="104" t="s">
        <v>1728</v>
      </c>
      <c r="E232" s="104" t="s">
        <v>2964</v>
      </c>
      <c r="F232" s="62"/>
      <c r="G232" s="26" t="s">
        <v>341</v>
      </c>
    </row>
    <row r="233" spans="2:7" ht="72.5" outlineLevel="1" x14ac:dyDescent="0.35">
      <c r="B233" s="84"/>
      <c r="C233" s="85"/>
      <c r="D233" s="104" t="s">
        <v>1727</v>
      </c>
      <c r="E233" s="104" t="s">
        <v>2971</v>
      </c>
      <c r="F233" s="62"/>
      <c r="G233" s="26" t="s">
        <v>341</v>
      </c>
    </row>
    <row r="234" spans="2:7" ht="58" outlineLevel="1" x14ac:dyDescent="0.35">
      <c r="B234" s="84"/>
      <c r="C234" s="85"/>
      <c r="D234" s="104" t="s">
        <v>2620</v>
      </c>
      <c r="E234" s="104" t="s">
        <v>2621</v>
      </c>
      <c r="F234" s="62"/>
      <c r="G234" s="26" t="s">
        <v>341</v>
      </c>
    </row>
    <row r="235" spans="2:7" x14ac:dyDescent="0.35">
      <c r="B235" s="105"/>
      <c r="C235" s="84" t="s">
        <v>3792</v>
      </c>
      <c r="D235" s="85"/>
      <c r="E235" s="106"/>
      <c r="F235" s="62"/>
      <c r="G235" s="23">
        <f>COUNTIF(G236:G268,"Yes")</f>
        <v>25</v>
      </c>
    </row>
    <row r="236" spans="2:7" x14ac:dyDescent="0.35">
      <c r="B236" s="77"/>
      <c r="C236" s="77"/>
      <c r="D236" s="75" t="s">
        <v>3850</v>
      </c>
      <c r="E236" s="2"/>
      <c r="G236" s="88"/>
    </row>
    <row r="237" spans="2:7" ht="58" outlineLevel="1" collapsed="1" x14ac:dyDescent="0.35">
      <c r="B237" s="2"/>
      <c r="C237" s="77"/>
      <c r="D237" s="21" t="s">
        <v>3501</v>
      </c>
      <c r="E237" s="21" t="s">
        <v>1937</v>
      </c>
      <c r="F237" s="62"/>
      <c r="G237" s="26" t="s">
        <v>341</v>
      </c>
    </row>
    <row r="238" spans="2:7" ht="58" outlineLevel="1" x14ac:dyDescent="0.35">
      <c r="B238" s="2"/>
      <c r="C238" s="77"/>
      <c r="D238" s="21" t="s">
        <v>1870</v>
      </c>
      <c r="E238" s="21" t="s">
        <v>1871</v>
      </c>
      <c r="F238" s="62"/>
      <c r="G238" s="26" t="s">
        <v>341</v>
      </c>
    </row>
    <row r="239" spans="2:7" x14ac:dyDescent="0.35">
      <c r="B239" s="77"/>
      <c r="C239" s="77"/>
      <c r="D239" s="75" t="s">
        <v>3793</v>
      </c>
      <c r="E239" s="2"/>
      <c r="G239" s="88"/>
    </row>
    <row r="240" spans="2:7" outlineLevel="1" collapsed="1" x14ac:dyDescent="0.35">
      <c r="B240" s="2"/>
      <c r="C240" s="77"/>
      <c r="D240" s="75" t="s">
        <v>3794</v>
      </c>
      <c r="E240" s="21"/>
      <c r="F240" s="62"/>
      <c r="G240" s="88"/>
    </row>
    <row r="241" spans="2:7" ht="58" outlineLevel="1" x14ac:dyDescent="0.35">
      <c r="B241" s="2"/>
      <c r="C241" s="77"/>
      <c r="D241" s="21" t="s">
        <v>1833</v>
      </c>
      <c r="E241" s="21" t="s">
        <v>1836</v>
      </c>
      <c r="F241" s="62"/>
      <c r="G241" s="26" t="s">
        <v>341</v>
      </c>
    </row>
    <row r="242" spans="2:7" ht="58" outlineLevel="1" x14ac:dyDescent="0.35">
      <c r="B242" s="2"/>
      <c r="C242" s="77"/>
      <c r="D242" s="21" t="s">
        <v>1834</v>
      </c>
      <c r="E242" s="21" t="s">
        <v>1849</v>
      </c>
      <c r="F242" s="62"/>
      <c r="G242" s="26" t="s">
        <v>341</v>
      </c>
    </row>
    <row r="243" spans="2:7" ht="43.5" outlineLevel="1" x14ac:dyDescent="0.35">
      <c r="B243" s="2"/>
      <c r="C243" s="77"/>
      <c r="D243" s="21" t="s">
        <v>1841</v>
      </c>
      <c r="E243" s="21" t="s">
        <v>1862</v>
      </c>
      <c r="F243" s="62"/>
      <c r="G243" s="26" t="s">
        <v>341</v>
      </c>
    </row>
    <row r="244" spans="2:7" ht="58" outlineLevel="1" x14ac:dyDescent="0.35">
      <c r="B244" s="2"/>
      <c r="C244" s="77"/>
      <c r="D244" s="21" t="s">
        <v>1832</v>
      </c>
      <c r="E244" s="21" t="s">
        <v>1848</v>
      </c>
      <c r="F244" s="62"/>
      <c r="G244" s="26" t="s">
        <v>341</v>
      </c>
    </row>
    <row r="245" spans="2:7" outlineLevel="1" x14ac:dyDescent="0.35">
      <c r="B245" s="2"/>
      <c r="C245" s="77"/>
      <c r="D245" s="75" t="s">
        <v>3795</v>
      </c>
      <c r="E245" s="21"/>
      <c r="F245" s="62"/>
      <c r="G245" s="88"/>
    </row>
    <row r="246" spans="2:7" ht="72.5" outlineLevel="1" collapsed="1" x14ac:dyDescent="0.35">
      <c r="B246" s="2"/>
      <c r="C246" s="77"/>
      <c r="D246" s="21" t="s">
        <v>2618</v>
      </c>
      <c r="E246" s="21" t="s">
        <v>2619</v>
      </c>
      <c r="F246" s="62"/>
      <c r="G246" s="26" t="s">
        <v>341</v>
      </c>
    </row>
    <row r="247" spans="2:7" ht="43.5" outlineLevel="1" x14ac:dyDescent="0.35">
      <c r="B247" s="2"/>
      <c r="C247" s="77"/>
      <c r="D247" s="21" t="s">
        <v>1835</v>
      </c>
      <c r="E247" s="21" t="s">
        <v>1837</v>
      </c>
      <c r="F247" s="62"/>
      <c r="G247" s="26" t="s">
        <v>341</v>
      </c>
    </row>
    <row r="248" spans="2:7" ht="72.5" outlineLevel="1" x14ac:dyDescent="0.35">
      <c r="B248" s="2"/>
      <c r="C248" s="77"/>
      <c r="D248" s="21" t="s">
        <v>2616</v>
      </c>
      <c r="E248" s="21" t="s">
        <v>2617</v>
      </c>
      <c r="F248" s="62"/>
      <c r="G248" s="26" t="s">
        <v>341</v>
      </c>
    </row>
    <row r="249" spans="2:7" x14ac:dyDescent="0.35">
      <c r="B249" s="77"/>
      <c r="C249" s="77"/>
      <c r="D249" s="75" t="s">
        <v>3796</v>
      </c>
      <c r="E249" s="2"/>
      <c r="G249" s="88"/>
    </row>
    <row r="250" spans="2:7" ht="145" outlineLevel="1" x14ac:dyDescent="0.35">
      <c r="B250" s="2"/>
      <c r="C250" s="77"/>
      <c r="D250" s="21" t="s">
        <v>3250</v>
      </c>
      <c r="E250" s="21" t="s">
        <v>4927</v>
      </c>
      <c r="F250" s="62"/>
      <c r="G250" s="26" t="s">
        <v>341</v>
      </c>
    </row>
    <row r="251" spans="2:7" ht="101.5" outlineLevel="1" x14ac:dyDescent="0.35">
      <c r="B251" s="2"/>
      <c r="C251" s="77"/>
      <c r="D251" s="21" t="s">
        <v>3251</v>
      </c>
      <c r="E251" s="21" t="s">
        <v>4020</v>
      </c>
      <c r="F251" s="62"/>
      <c r="G251" s="26" t="s">
        <v>341</v>
      </c>
    </row>
    <row r="252" spans="2:7" ht="43.5" outlineLevel="1" collapsed="1" x14ac:dyDescent="0.35">
      <c r="B252" s="2"/>
      <c r="C252" s="77"/>
      <c r="D252" s="21" t="s">
        <v>3493</v>
      </c>
      <c r="E252" s="21" t="s">
        <v>3253</v>
      </c>
      <c r="F252" s="62"/>
      <c r="G252" s="26" t="s">
        <v>341</v>
      </c>
    </row>
    <row r="253" spans="2:7" ht="87" outlineLevel="1" x14ac:dyDescent="0.35">
      <c r="B253" s="2"/>
      <c r="C253" s="77"/>
      <c r="D253" s="21" t="s">
        <v>3767</v>
      </c>
      <c r="E253" s="21" t="s">
        <v>3768</v>
      </c>
      <c r="F253" s="62"/>
      <c r="G253" s="26" t="s">
        <v>341</v>
      </c>
    </row>
    <row r="254" spans="2:7" ht="130.5" outlineLevel="1" x14ac:dyDescent="0.35">
      <c r="B254" s="2"/>
      <c r="C254" s="77"/>
      <c r="D254" s="21" t="s">
        <v>3252</v>
      </c>
      <c r="E254" s="21" t="s">
        <v>3254</v>
      </c>
      <c r="F254" s="62"/>
      <c r="G254" s="26" t="s">
        <v>341</v>
      </c>
    </row>
    <row r="255" spans="2:7" x14ac:dyDescent="0.35">
      <c r="B255" s="77"/>
      <c r="C255" s="77"/>
      <c r="D255" s="75" t="s">
        <v>4401</v>
      </c>
      <c r="E255" s="2"/>
      <c r="G255" s="88"/>
    </row>
    <row r="256" spans="2:7" ht="130.5" outlineLevel="1" x14ac:dyDescent="0.35">
      <c r="B256" s="2"/>
      <c r="C256" s="77"/>
      <c r="D256" s="21" t="s">
        <v>4402</v>
      </c>
      <c r="E256" s="104" t="s">
        <v>4406</v>
      </c>
      <c r="F256" s="62"/>
      <c r="G256" s="26" t="s">
        <v>341</v>
      </c>
    </row>
    <row r="257" spans="2:7" ht="145" outlineLevel="1" x14ac:dyDescent="0.35">
      <c r="B257" s="2"/>
      <c r="C257" s="77"/>
      <c r="D257" s="21" t="s">
        <v>4403</v>
      </c>
      <c r="E257" s="104" t="s">
        <v>4405</v>
      </c>
      <c r="F257" s="62"/>
      <c r="G257" s="26" t="s">
        <v>341</v>
      </c>
    </row>
    <row r="258" spans="2:7" ht="145" outlineLevel="1" collapsed="1" x14ac:dyDescent="0.35">
      <c r="B258" s="2"/>
      <c r="C258" s="77"/>
      <c r="D258" s="21" t="s">
        <v>4404</v>
      </c>
      <c r="E258" s="104" t="s">
        <v>4405</v>
      </c>
      <c r="F258" s="62"/>
      <c r="G258" s="26" t="s">
        <v>341</v>
      </c>
    </row>
    <row r="259" spans="2:7" x14ac:dyDescent="0.35">
      <c r="B259" s="77"/>
      <c r="C259" s="77"/>
      <c r="D259" s="75" t="s">
        <v>4850</v>
      </c>
      <c r="E259" s="2"/>
      <c r="G259" s="88"/>
    </row>
    <row r="260" spans="2:7" ht="58" outlineLevel="1" x14ac:dyDescent="0.35">
      <c r="B260" s="2"/>
      <c r="C260" s="77"/>
      <c r="D260" s="104" t="s">
        <v>4455</v>
      </c>
      <c r="E260" s="104" t="s">
        <v>4459</v>
      </c>
      <c r="F260" s="62"/>
      <c r="G260" s="26" t="s">
        <v>341</v>
      </c>
    </row>
    <row r="261" spans="2:7" ht="29" outlineLevel="1" x14ac:dyDescent="0.35">
      <c r="B261" s="2"/>
      <c r="C261" s="77"/>
      <c r="D261" s="104" t="s">
        <v>4456</v>
      </c>
      <c r="E261" s="104" t="s">
        <v>4460</v>
      </c>
      <c r="F261" s="62"/>
      <c r="G261" s="26" t="s">
        <v>341</v>
      </c>
    </row>
    <row r="262" spans="2:7" ht="43.5" outlineLevel="1" x14ac:dyDescent="0.35">
      <c r="B262" s="2"/>
      <c r="C262" s="77"/>
      <c r="D262" s="104" t="s">
        <v>4457</v>
      </c>
      <c r="E262" s="104" t="s">
        <v>4461</v>
      </c>
      <c r="F262" s="62"/>
      <c r="G262" s="26" t="s">
        <v>341</v>
      </c>
    </row>
    <row r="263" spans="2:7" ht="87" outlineLevel="1" collapsed="1" x14ac:dyDescent="0.35">
      <c r="B263" s="2"/>
      <c r="C263" s="77"/>
      <c r="D263" s="104" t="s">
        <v>4458</v>
      </c>
      <c r="E263" s="104" t="s">
        <v>4462</v>
      </c>
      <c r="F263" s="62"/>
      <c r="G263" s="26" t="s">
        <v>341</v>
      </c>
    </row>
    <row r="264" spans="2:7" x14ac:dyDescent="0.35">
      <c r="B264" s="77"/>
      <c r="C264" s="77"/>
      <c r="D264" s="75" t="s">
        <v>5422</v>
      </c>
      <c r="E264" s="2"/>
      <c r="G264" s="88"/>
    </row>
    <row r="265" spans="2:7" ht="145" outlineLevel="1" x14ac:dyDescent="0.35">
      <c r="B265" s="2"/>
      <c r="C265" s="77"/>
      <c r="D265" s="104" t="s">
        <v>5550</v>
      </c>
      <c r="E265" s="104" t="s">
        <v>5687</v>
      </c>
      <c r="F265" s="62"/>
      <c r="G265" s="26" t="s">
        <v>341</v>
      </c>
    </row>
    <row r="266" spans="2:7" ht="101.5" outlineLevel="1" x14ac:dyDescent="0.35">
      <c r="B266" s="2"/>
      <c r="C266" s="77"/>
      <c r="D266" s="104" t="s">
        <v>5551</v>
      </c>
      <c r="E266" s="104" t="s">
        <v>5554</v>
      </c>
      <c r="F266" s="62"/>
      <c r="G266" s="26" t="s">
        <v>341</v>
      </c>
    </row>
    <row r="267" spans="2:7" ht="174" outlineLevel="1" x14ac:dyDescent="0.35">
      <c r="B267" s="2"/>
      <c r="C267" s="77"/>
      <c r="D267" s="104" t="s">
        <v>5552</v>
      </c>
      <c r="E267" s="104" t="s">
        <v>5555</v>
      </c>
      <c r="F267" s="62"/>
      <c r="G267" s="26" t="s">
        <v>341</v>
      </c>
    </row>
    <row r="268" spans="2:7" ht="130.5" outlineLevel="1" x14ac:dyDescent="0.35">
      <c r="B268" s="2"/>
      <c r="C268" s="77"/>
      <c r="D268" s="104" t="s">
        <v>5553</v>
      </c>
      <c r="E268" s="104" t="s">
        <v>5556</v>
      </c>
      <c r="F268" s="62"/>
      <c r="G268" s="26" t="s">
        <v>341</v>
      </c>
    </row>
    <row r="269" spans="2:7" x14ac:dyDescent="0.35">
      <c r="B269" s="105"/>
      <c r="C269" s="84" t="s">
        <v>3798</v>
      </c>
      <c r="D269" s="85"/>
      <c r="E269" s="106"/>
      <c r="F269" s="62"/>
      <c r="G269" s="23">
        <f>COUNTIF(G270:G278,"Yes")</f>
        <v>6</v>
      </c>
    </row>
    <row r="270" spans="2:7" x14ac:dyDescent="0.35">
      <c r="B270" s="77"/>
      <c r="C270" s="77"/>
      <c r="D270" s="75" t="s">
        <v>3797</v>
      </c>
      <c r="E270" s="2"/>
      <c r="G270" s="88"/>
    </row>
    <row r="271" spans="2:7" outlineLevel="1" x14ac:dyDescent="0.35">
      <c r="B271" s="105"/>
      <c r="C271" s="105"/>
      <c r="D271" s="4" t="s">
        <v>3799</v>
      </c>
      <c r="E271" s="85"/>
      <c r="G271" s="103"/>
    </row>
    <row r="272" spans="2:7" ht="58" outlineLevel="1" x14ac:dyDescent="0.35">
      <c r="B272" s="106"/>
      <c r="C272" s="106"/>
      <c r="D272" s="104" t="s">
        <v>2688</v>
      </c>
      <c r="E272" s="104" t="s">
        <v>3937</v>
      </c>
      <c r="F272" s="62"/>
      <c r="G272" s="26" t="s">
        <v>341</v>
      </c>
    </row>
    <row r="273" spans="2:7" ht="72.5" outlineLevel="1" x14ac:dyDescent="0.35">
      <c r="B273" s="106"/>
      <c r="C273" s="106"/>
      <c r="D273" s="104" t="s">
        <v>2960</v>
      </c>
      <c r="E273" s="104" t="s">
        <v>4024</v>
      </c>
      <c r="F273" s="62"/>
      <c r="G273" s="26" t="s">
        <v>341</v>
      </c>
    </row>
    <row r="274" spans="2:7" ht="43.5" outlineLevel="1" x14ac:dyDescent="0.35">
      <c r="B274" s="106"/>
      <c r="C274" s="106"/>
      <c r="D274" s="104" t="s">
        <v>2690</v>
      </c>
      <c r="E274" s="104" t="s">
        <v>2689</v>
      </c>
      <c r="F274" s="62"/>
      <c r="G274" s="26" t="s">
        <v>341</v>
      </c>
    </row>
    <row r="275" spans="2:7" outlineLevel="1" x14ac:dyDescent="0.35">
      <c r="B275" s="105"/>
      <c r="C275" s="105"/>
      <c r="D275" s="4" t="s">
        <v>3800</v>
      </c>
      <c r="E275" s="85"/>
      <c r="G275" s="103"/>
    </row>
    <row r="276" spans="2:7" ht="43.5" outlineLevel="1" x14ac:dyDescent="0.35">
      <c r="B276" s="106"/>
      <c r="C276" s="106"/>
      <c r="D276" s="104" t="s">
        <v>2691</v>
      </c>
      <c r="E276" s="104" t="s">
        <v>2692</v>
      </c>
      <c r="F276" s="62"/>
      <c r="G276" s="26" t="s">
        <v>341</v>
      </c>
    </row>
    <row r="277" spans="2:7" ht="43.5" outlineLevel="1" x14ac:dyDescent="0.35">
      <c r="B277" s="106"/>
      <c r="C277" s="106"/>
      <c r="D277" s="104" t="s">
        <v>2881</v>
      </c>
      <c r="E277" s="104" t="s">
        <v>2882</v>
      </c>
      <c r="F277" s="62"/>
      <c r="G277" s="26" t="s">
        <v>341</v>
      </c>
    </row>
    <row r="278" spans="2:7" ht="101.5" outlineLevel="1" x14ac:dyDescent="0.35">
      <c r="B278" s="106"/>
      <c r="C278" s="106"/>
      <c r="D278" s="104" t="s">
        <v>3492</v>
      </c>
      <c r="E278" s="104" t="s">
        <v>4023</v>
      </c>
      <c r="F278" s="62"/>
      <c r="G278" s="26" t="s">
        <v>341</v>
      </c>
    </row>
    <row r="279" spans="2:7" x14ac:dyDescent="0.35">
      <c r="B279" s="105"/>
      <c r="C279" s="84" t="s">
        <v>3801</v>
      </c>
      <c r="D279" s="85"/>
      <c r="E279" s="106"/>
      <c r="F279" s="62"/>
      <c r="G279" s="23">
        <f>COUNTIF(G280:G483,"Yes")</f>
        <v>174</v>
      </c>
    </row>
    <row r="280" spans="2:7" x14ac:dyDescent="0.35">
      <c r="B280" s="77"/>
      <c r="C280" s="77"/>
      <c r="D280" s="75" t="s">
        <v>3802</v>
      </c>
      <c r="E280" s="2"/>
      <c r="G280" s="88"/>
    </row>
    <row r="281" spans="2:7" ht="101.5" outlineLevel="1" x14ac:dyDescent="0.35">
      <c r="B281" s="105"/>
      <c r="C281" s="105"/>
      <c r="D281" s="104" t="s">
        <v>3076</v>
      </c>
      <c r="E281" s="104" t="s">
        <v>3077</v>
      </c>
      <c r="F281" s="62"/>
      <c r="G281" s="26" t="s">
        <v>341</v>
      </c>
    </row>
    <row r="282" spans="2:7" ht="43.5" outlineLevel="1" x14ac:dyDescent="0.35">
      <c r="B282" s="105"/>
      <c r="C282" s="105"/>
      <c r="D282" s="104" t="s">
        <v>3069</v>
      </c>
      <c r="E282" s="104" t="s">
        <v>1172</v>
      </c>
      <c r="F282" s="62"/>
      <c r="G282" s="26" t="s">
        <v>341</v>
      </c>
    </row>
    <row r="283" spans="2:7" ht="58" outlineLevel="1" x14ac:dyDescent="0.35">
      <c r="B283" s="105"/>
      <c r="C283" s="105"/>
      <c r="D283" s="104" t="s">
        <v>3488</v>
      </c>
      <c r="E283" s="104" t="s">
        <v>1258</v>
      </c>
      <c r="F283" s="62"/>
      <c r="G283" s="26" t="s">
        <v>341</v>
      </c>
    </row>
    <row r="284" spans="2:7" ht="43.5" outlineLevel="1" x14ac:dyDescent="0.35">
      <c r="B284" s="105"/>
      <c r="C284" s="105"/>
      <c r="D284" s="104" t="s">
        <v>3070</v>
      </c>
      <c r="E284" s="104" t="s">
        <v>2459</v>
      </c>
      <c r="F284" s="62"/>
      <c r="G284" s="26" t="s">
        <v>341</v>
      </c>
    </row>
    <row r="285" spans="2:7" ht="72.5" outlineLevel="1" x14ac:dyDescent="0.35">
      <c r="B285" s="105"/>
      <c r="C285" s="105"/>
      <c r="D285" s="104" t="s">
        <v>3071</v>
      </c>
      <c r="E285" s="104" t="s">
        <v>1256</v>
      </c>
      <c r="F285" s="62"/>
      <c r="G285" s="26" t="s">
        <v>341</v>
      </c>
    </row>
    <row r="286" spans="2:7" ht="43.5" outlineLevel="1" x14ac:dyDescent="0.35">
      <c r="B286" s="105"/>
      <c r="C286" s="105"/>
      <c r="D286" s="104" t="s">
        <v>3072</v>
      </c>
      <c r="E286" s="104" t="s">
        <v>1257</v>
      </c>
      <c r="F286" s="62"/>
      <c r="G286" s="26" t="s">
        <v>341</v>
      </c>
    </row>
    <row r="287" spans="2:7" ht="29" outlineLevel="1" x14ac:dyDescent="0.35">
      <c r="B287" s="105"/>
      <c r="C287" s="105"/>
      <c r="D287" s="104" t="s">
        <v>3104</v>
      </c>
      <c r="E287" s="104" t="s">
        <v>1171</v>
      </c>
      <c r="F287" s="62"/>
      <c r="G287" s="26" t="s">
        <v>341</v>
      </c>
    </row>
    <row r="288" spans="2:7" ht="29" outlineLevel="1" x14ac:dyDescent="0.35">
      <c r="B288" s="105"/>
      <c r="C288" s="105"/>
      <c r="D288" s="104" t="s">
        <v>3073</v>
      </c>
      <c r="E288" s="104" t="s">
        <v>1177</v>
      </c>
      <c r="F288" s="62"/>
      <c r="G288" s="26" t="s">
        <v>341</v>
      </c>
    </row>
    <row r="289" spans="2:7" ht="29" outlineLevel="1" x14ac:dyDescent="0.35">
      <c r="B289" s="105"/>
      <c r="C289" s="105"/>
      <c r="D289" s="104" t="s">
        <v>3103</v>
      </c>
      <c r="E289" s="104" t="s">
        <v>1175</v>
      </c>
      <c r="F289" s="62"/>
      <c r="G289" s="26" t="s">
        <v>341</v>
      </c>
    </row>
    <row r="290" spans="2:7" ht="87" outlineLevel="1" x14ac:dyDescent="0.35">
      <c r="B290" s="105"/>
      <c r="C290" s="105"/>
      <c r="D290" s="104" t="s">
        <v>3082</v>
      </c>
      <c r="E290" s="104" t="s">
        <v>3958</v>
      </c>
      <c r="F290" s="62"/>
      <c r="G290" s="26" t="s">
        <v>341</v>
      </c>
    </row>
    <row r="291" spans="2:7" ht="87" outlineLevel="1" x14ac:dyDescent="0.35">
      <c r="B291" s="105"/>
      <c r="C291" s="105"/>
      <c r="D291" s="104" t="s">
        <v>3083</v>
      </c>
      <c r="E291" s="104" t="s">
        <v>2880</v>
      </c>
      <c r="F291" s="62"/>
      <c r="G291" s="26" t="s">
        <v>341</v>
      </c>
    </row>
    <row r="292" spans="2:7" ht="58" outlineLevel="1" x14ac:dyDescent="0.35">
      <c r="B292" s="84"/>
      <c r="C292" s="85"/>
      <c r="D292" s="104" t="s">
        <v>3121</v>
      </c>
      <c r="E292" s="104" t="s">
        <v>2762</v>
      </c>
      <c r="F292" s="62"/>
      <c r="G292" s="26" t="s">
        <v>341</v>
      </c>
    </row>
    <row r="293" spans="2:7" x14ac:dyDescent="0.35">
      <c r="B293" s="77"/>
      <c r="C293" s="77"/>
      <c r="D293" s="75" t="s">
        <v>3803</v>
      </c>
      <c r="E293" s="2"/>
      <c r="G293" s="88"/>
    </row>
    <row r="294" spans="2:7" ht="72.5" outlineLevel="1" collapsed="1" x14ac:dyDescent="0.35">
      <c r="B294" s="2"/>
      <c r="C294" s="77"/>
      <c r="D294" s="21" t="s">
        <v>3500</v>
      </c>
      <c r="E294" s="21" t="s">
        <v>2963</v>
      </c>
      <c r="F294" s="62"/>
      <c r="G294" s="26" t="s">
        <v>341</v>
      </c>
    </row>
    <row r="295" spans="2:7" ht="58" outlineLevel="1" x14ac:dyDescent="0.35">
      <c r="B295" s="2"/>
      <c r="C295" s="77"/>
      <c r="D295" s="21" t="s">
        <v>1851</v>
      </c>
      <c r="E295" s="21" t="s">
        <v>969</v>
      </c>
      <c r="F295" s="62"/>
      <c r="G295" s="26" t="s">
        <v>341</v>
      </c>
    </row>
    <row r="296" spans="2:7" ht="58" outlineLevel="1" x14ac:dyDescent="0.35">
      <c r="B296" s="2"/>
      <c r="C296" s="77"/>
      <c r="D296" s="21" t="s">
        <v>1852</v>
      </c>
      <c r="E296" s="21" t="s">
        <v>1978</v>
      </c>
      <c r="F296" s="62"/>
      <c r="G296" s="26" t="s">
        <v>341</v>
      </c>
    </row>
    <row r="297" spans="2:7" ht="58" outlineLevel="1" x14ac:dyDescent="0.35">
      <c r="B297" s="2"/>
      <c r="C297" s="77"/>
      <c r="D297" s="21" t="s">
        <v>1853</v>
      </c>
      <c r="E297" s="21" t="s">
        <v>1857</v>
      </c>
      <c r="F297" s="62"/>
      <c r="G297" s="26" t="s">
        <v>341</v>
      </c>
    </row>
    <row r="298" spans="2:7" ht="58" outlineLevel="1" x14ac:dyDescent="0.35">
      <c r="B298" s="2"/>
      <c r="C298" s="77"/>
      <c r="D298" s="21" t="s">
        <v>3490</v>
      </c>
      <c r="E298" s="21" t="s">
        <v>1931</v>
      </c>
      <c r="F298" s="62"/>
      <c r="G298" s="26" t="s">
        <v>341</v>
      </c>
    </row>
    <row r="299" spans="2:7" x14ac:dyDescent="0.35">
      <c r="B299" s="77"/>
      <c r="C299" s="77"/>
      <c r="D299" s="75" t="s">
        <v>3804</v>
      </c>
      <c r="E299" s="2"/>
      <c r="G299" s="88"/>
    </row>
    <row r="300" spans="2:7" outlineLevel="1" x14ac:dyDescent="0.35">
      <c r="B300" s="105"/>
      <c r="C300" s="105"/>
      <c r="D300" s="4" t="s">
        <v>3805</v>
      </c>
      <c r="E300" s="104"/>
      <c r="F300" s="62"/>
      <c r="G300" s="103"/>
    </row>
    <row r="301" spans="2:7" ht="58" outlineLevel="1" x14ac:dyDescent="0.35">
      <c r="B301" s="105"/>
      <c r="C301" s="105"/>
      <c r="D301" s="104" t="s">
        <v>2222</v>
      </c>
      <c r="E301" s="104" t="s">
        <v>969</v>
      </c>
      <c r="F301" s="62"/>
      <c r="G301" s="26" t="s">
        <v>341</v>
      </c>
    </row>
    <row r="302" spans="2:7" ht="58" outlineLevel="1" x14ac:dyDescent="0.35">
      <c r="B302" s="105"/>
      <c r="C302" s="105"/>
      <c r="D302" s="104" t="s">
        <v>4053</v>
      </c>
      <c r="E302" s="104" t="s">
        <v>4028</v>
      </c>
      <c r="F302" s="62"/>
      <c r="G302" s="26" t="s">
        <v>341</v>
      </c>
    </row>
    <row r="303" spans="2:7" ht="58" outlineLevel="1" x14ac:dyDescent="0.35">
      <c r="B303" s="105"/>
      <c r="C303" s="105"/>
      <c r="D303" s="104" t="s">
        <v>2223</v>
      </c>
      <c r="E303" s="104" t="s">
        <v>2962</v>
      </c>
      <c r="F303" s="62"/>
      <c r="G303" s="26" t="s">
        <v>341</v>
      </c>
    </row>
    <row r="304" spans="2:7" ht="72.5" outlineLevel="1" x14ac:dyDescent="0.35">
      <c r="B304" s="105"/>
      <c r="C304" s="105"/>
      <c r="D304" s="104" t="s">
        <v>2306</v>
      </c>
      <c r="E304" s="104" t="s">
        <v>2219</v>
      </c>
      <c r="F304" s="62"/>
      <c r="G304" s="26" t="s">
        <v>341</v>
      </c>
    </row>
    <row r="305" spans="2:7" ht="58" outlineLevel="1" x14ac:dyDescent="0.35">
      <c r="B305" s="105"/>
      <c r="C305" s="105"/>
      <c r="D305" s="104" t="s">
        <v>2305</v>
      </c>
      <c r="E305" s="104" t="s">
        <v>4051</v>
      </c>
      <c r="F305" s="62"/>
      <c r="G305" s="26" t="s">
        <v>341</v>
      </c>
    </row>
    <row r="306" spans="2:7" ht="43.5" outlineLevel="1" x14ac:dyDescent="0.35">
      <c r="B306" s="105"/>
      <c r="C306" s="105"/>
      <c r="D306" s="104" t="s">
        <v>3476</v>
      </c>
      <c r="E306" s="104" t="s">
        <v>348</v>
      </c>
      <c r="F306" s="62"/>
      <c r="G306" s="26" t="s">
        <v>341</v>
      </c>
    </row>
    <row r="307" spans="2:7" s="104" customFormat="1" ht="58" outlineLevel="1" x14ac:dyDescent="0.35">
      <c r="D307" s="104" t="s">
        <v>2304</v>
      </c>
      <c r="E307" s="104" t="s">
        <v>3931</v>
      </c>
      <c r="G307" s="26" t="s">
        <v>341</v>
      </c>
    </row>
    <row r="308" spans="2:7" s="104" customFormat="1" ht="72.5" outlineLevel="1" x14ac:dyDescent="0.35">
      <c r="D308" s="104" t="s">
        <v>2303</v>
      </c>
      <c r="E308" s="104" t="s">
        <v>2218</v>
      </c>
      <c r="G308" s="26" t="s">
        <v>341</v>
      </c>
    </row>
    <row r="309" spans="2:7" ht="87" outlineLevel="1" x14ac:dyDescent="0.35">
      <c r="B309" s="105"/>
      <c r="C309" s="105"/>
      <c r="D309" s="104" t="s">
        <v>3484</v>
      </c>
      <c r="E309" s="104" t="s">
        <v>1932</v>
      </c>
      <c r="F309" s="62"/>
      <c r="G309" s="26" t="s">
        <v>341</v>
      </c>
    </row>
    <row r="310" spans="2:7" outlineLevel="1" x14ac:dyDescent="0.35">
      <c r="B310" s="105"/>
      <c r="C310" s="105"/>
      <c r="D310" s="4" t="s">
        <v>3806</v>
      </c>
      <c r="E310" s="104"/>
      <c r="F310" s="62"/>
      <c r="G310" s="103"/>
    </row>
    <row r="311" spans="2:7" ht="58" outlineLevel="1" x14ac:dyDescent="0.35">
      <c r="B311" s="105"/>
      <c r="C311" s="105"/>
      <c r="D311" s="104" t="s">
        <v>2239</v>
      </c>
      <c r="E311" s="104" t="s">
        <v>969</v>
      </c>
      <c r="F311" s="62"/>
      <c r="G311" s="26" t="s">
        <v>341</v>
      </c>
    </row>
    <row r="312" spans="2:7" ht="43.5" outlineLevel="1" x14ac:dyDescent="0.35">
      <c r="B312" s="105"/>
      <c r="C312" s="105"/>
      <c r="D312" s="104" t="s">
        <v>3159</v>
      </c>
      <c r="E312" s="104" t="s">
        <v>3942</v>
      </c>
      <c r="F312" s="62"/>
      <c r="G312" s="26" t="s">
        <v>341</v>
      </c>
    </row>
    <row r="313" spans="2:7" ht="72.5" outlineLevel="1" x14ac:dyDescent="0.35">
      <c r="B313" s="105"/>
      <c r="C313" s="105"/>
      <c r="D313" s="104" t="s">
        <v>2238</v>
      </c>
      <c r="E313" s="104" t="s">
        <v>2970</v>
      </c>
      <c r="F313" s="62"/>
      <c r="G313" s="26" t="s">
        <v>341</v>
      </c>
    </row>
    <row r="314" spans="2:7" ht="72.5" outlineLevel="1" x14ac:dyDescent="0.35">
      <c r="B314" s="105"/>
      <c r="C314" s="105"/>
      <c r="D314" s="104" t="s">
        <v>2236</v>
      </c>
      <c r="E314" s="104" t="s">
        <v>2314</v>
      </c>
      <c r="F314" s="62"/>
      <c r="G314" s="26" t="s">
        <v>341</v>
      </c>
    </row>
    <row r="315" spans="2:7" ht="58" outlineLevel="1" x14ac:dyDescent="0.35">
      <c r="B315" s="105"/>
      <c r="C315" s="105"/>
      <c r="D315" s="104" t="s">
        <v>2226</v>
      </c>
      <c r="E315" s="106" t="s">
        <v>2736</v>
      </c>
      <c r="F315" s="62"/>
      <c r="G315" s="26" t="s">
        <v>341</v>
      </c>
    </row>
    <row r="316" spans="2:7" ht="43.5" outlineLevel="1" x14ac:dyDescent="0.35">
      <c r="B316" s="105"/>
      <c r="C316" s="105"/>
      <c r="D316" s="104" t="s">
        <v>3158</v>
      </c>
      <c r="E316" s="106" t="s">
        <v>1708</v>
      </c>
      <c r="F316" s="62"/>
      <c r="G316" s="26" t="s">
        <v>341</v>
      </c>
    </row>
    <row r="317" spans="2:7" ht="87" outlineLevel="1" x14ac:dyDescent="0.35">
      <c r="B317" s="105"/>
      <c r="C317" s="105"/>
      <c r="D317" s="104" t="s">
        <v>2234</v>
      </c>
      <c r="E317" s="104" t="s">
        <v>1709</v>
      </c>
      <c r="F317" s="62"/>
      <c r="G317" s="26" t="s">
        <v>341</v>
      </c>
    </row>
    <row r="318" spans="2:7" ht="58" outlineLevel="1" x14ac:dyDescent="0.35">
      <c r="B318" s="105"/>
      <c r="C318" s="105"/>
      <c r="D318" s="104" t="s">
        <v>3486</v>
      </c>
      <c r="E318" s="104" t="s">
        <v>1707</v>
      </c>
      <c r="F318" s="62"/>
      <c r="G318" s="26" t="s">
        <v>341</v>
      </c>
    </row>
    <row r="319" spans="2:7" ht="43.5" outlineLevel="1" x14ac:dyDescent="0.35">
      <c r="B319" s="105"/>
      <c r="C319" s="105"/>
      <c r="D319" s="104" t="s">
        <v>3487</v>
      </c>
      <c r="E319" s="104" t="s">
        <v>1261</v>
      </c>
      <c r="F319" s="62"/>
      <c r="G319" s="26" t="s">
        <v>341</v>
      </c>
    </row>
    <row r="320" spans="2:7" ht="29" outlineLevel="1" x14ac:dyDescent="0.35">
      <c r="B320" s="105"/>
      <c r="C320" s="105"/>
      <c r="D320" s="104" t="s">
        <v>2227</v>
      </c>
      <c r="E320" s="104" t="s">
        <v>2315</v>
      </c>
      <c r="F320" s="62"/>
      <c r="G320" s="26" t="s">
        <v>341</v>
      </c>
    </row>
    <row r="321" spans="2:7" ht="43.5" outlineLevel="1" x14ac:dyDescent="0.35">
      <c r="B321" s="84"/>
      <c r="C321" s="85"/>
      <c r="D321" s="104" t="s">
        <v>2232</v>
      </c>
      <c r="E321" s="104" t="s">
        <v>2310</v>
      </c>
      <c r="F321" s="62"/>
      <c r="G321" s="26" t="s">
        <v>341</v>
      </c>
    </row>
    <row r="322" spans="2:7" ht="72.5" outlineLevel="1" x14ac:dyDescent="0.35">
      <c r="B322" s="84"/>
      <c r="C322" s="85"/>
      <c r="D322" s="104" t="s">
        <v>2604</v>
      </c>
      <c r="E322" s="104" t="s">
        <v>2312</v>
      </c>
      <c r="F322" s="62"/>
      <c r="G322" s="26" t="s">
        <v>341</v>
      </c>
    </row>
    <row r="323" spans="2:7" outlineLevel="1" x14ac:dyDescent="0.35">
      <c r="B323" s="84"/>
      <c r="C323" s="85"/>
      <c r="D323" s="4" t="s">
        <v>3807</v>
      </c>
      <c r="E323" s="104"/>
      <c r="F323" s="62"/>
      <c r="G323" s="103"/>
    </row>
    <row r="324" spans="2:7" ht="101.5" outlineLevel="1" x14ac:dyDescent="0.35">
      <c r="B324" s="105"/>
      <c r="C324" s="105"/>
      <c r="D324" s="104" t="s">
        <v>3074</v>
      </c>
      <c r="E324" s="104" t="s">
        <v>3075</v>
      </c>
      <c r="F324" s="62"/>
      <c r="G324" s="26" t="s">
        <v>341</v>
      </c>
    </row>
    <row r="325" spans="2:7" ht="29" outlineLevel="1" x14ac:dyDescent="0.35">
      <c r="B325" s="105"/>
      <c r="C325" s="105"/>
      <c r="D325" s="104" t="s">
        <v>3103</v>
      </c>
      <c r="E325" s="104" t="s">
        <v>1175</v>
      </c>
      <c r="F325" s="62"/>
      <c r="G325" s="26" t="s">
        <v>341</v>
      </c>
    </row>
    <row r="326" spans="2:7" ht="43.5" outlineLevel="1" x14ac:dyDescent="0.35">
      <c r="B326" s="105"/>
      <c r="C326" s="105"/>
      <c r="D326" s="104" t="s">
        <v>3069</v>
      </c>
      <c r="E326" s="104" t="s">
        <v>1172</v>
      </c>
      <c r="F326" s="62"/>
      <c r="G326" s="26" t="s">
        <v>341</v>
      </c>
    </row>
    <row r="327" spans="2:7" ht="58" outlineLevel="1" x14ac:dyDescent="0.35">
      <c r="B327" s="105"/>
      <c r="C327" s="105"/>
      <c r="D327" s="104" t="s">
        <v>3488</v>
      </c>
      <c r="E327" s="104" t="s">
        <v>1258</v>
      </c>
      <c r="F327" s="62"/>
      <c r="G327" s="26" t="s">
        <v>341</v>
      </c>
    </row>
    <row r="328" spans="2:7" ht="43.5" outlineLevel="1" x14ac:dyDescent="0.35">
      <c r="B328" s="105"/>
      <c r="C328" s="105"/>
      <c r="D328" s="104" t="s">
        <v>3070</v>
      </c>
      <c r="E328" s="104" t="s">
        <v>2459</v>
      </c>
      <c r="F328" s="62"/>
      <c r="G328" s="26" t="s">
        <v>341</v>
      </c>
    </row>
    <row r="329" spans="2:7" ht="72.5" outlineLevel="1" x14ac:dyDescent="0.35">
      <c r="B329" s="105"/>
      <c r="C329" s="105"/>
      <c r="D329" s="104" t="s">
        <v>3071</v>
      </c>
      <c r="E329" s="104" t="s">
        <v>1256</v>
      </c>
      <c r="F329" s="62"/>
      <c r="G329" s="26" t="s">
        <v>341</v>
      </c>
    </row>
    <row r="330" spans="2:7" ht="43.5" outlineLevel="1" x14ac:dyDescent="0.35">
      <c r="B330" s="105"/>
      <c r="C330" s="105"/>
      <c r="D330" s="104" t="s">
        <v>3072</v>
      </c>
      <c r="E330" s="104" t="s">
        <v>1257</v>
      </c>
      <c r="F330" s="62"/>
      <c r="G330" s="26" t="s">
        <v>341</v>
      </c>
    </row>
    <row r="331" spans="2:7" ht="29" outlineLevel="1" x14ac:dyDescent="0.35">
      <c r="B331" s="105"/>
      <c r="C331" s="105"/>
      <c r="D331" s="104" t="s">
        <v>3104</v>
      </c>
      <c r="E331" s="104" t="s">
        <v>1171</v>
      </c>
      <c r="F331" s="62"/>
      <c r="G331" s="26" t="s">
        <v>341</v>
      </c>
    </row>
    <row r="332" spans="2:7" ht="29" outlineLevel="1" x14ac:dyDescent="0.35">
      <c r="B332" s="105"/>
      <c r="C332" s="105"/>
      <c r="D332" s="104" t="s">
        <v>3073</v>
      </c>
      <c r="E332" s="106" t="s">
        <v>1177</v>
      </c>
      <c r="F332" s="62"/>
      <c r="G332" s="26" t="s">
        <v>341</v>
      </c>
    </row>
    <row r="333" spans="2:7" x14ac:dyDescent="0.35">
      <c r="B333" s="77"/>
      <c r="C333" s="77"/>
      <c r="D333" s="75" t="s">
        <v>3808</v>
      </c>
      <c r="E333" s="2"/>
      <c r="G333" s="88"/>
    </row>
    <row r="334" spans="2:7" outlineLevel="1" x14ac:dyDescent="0.35">
      <c r="B334" s="105"/>
      <c r="C334" s="105"/>
      <c r="D334" s="4" t="s">
        <v>3809</v>
      </c>
      <c r="E334" s="104"/>
      <c r="F334" s="62"/>
      <c r="G334" s="103"/>
    </row>
    <row r="335" spans="2:7" ht="72.5" outlineLevel="1" x14ac:dyDescent="0.35">
      <c r="B335" s="105"/>
      <c r="C335" s="105"/>
      <c r="D335" s="104" t="s">
        <v>2126</v>
      </c>
      <c r="E335" s="104" t="s">
        <v>2127</v>
      </c>
      <c r="F335" s="62"/>
      <c r="G335" s="26" t="s">
        <v>341</v>
      </c>
    </row>
    <row r="336" spans="2:7" s="104" customFormat="1" ht="58" outlineLevel="1" x14ac:dyDescent="0.35">
      <c r="D336" s="104" t="s">
        <v>2128</v>
      </c>
      <c r="E336" s="104" t="s">
        <v>2129</v>
      </c>
      <c r="G336" s="26" t="s">
        <v>341</v>
      </c>
    </row>
    <row r="337" spans="2:7" s="104" customFormat="1" ht="116" outlineLevel="1" x14ac:dyDescent="0.35">
      <c r="D337" s="104" t="s">
        <v>4116</v>
      </c>
      <c r="E337" s="104" t="s">
        <v>5686</v>
      </c>
      <c r="G337" s="26" t="s">
        <v>341</v>
      </c>
    </row>
    <row r="338" spans="2:7" s="104" customFormat="1" ht="58" outlineLevel="1" x14ac:dyDescent="0.35">
      <c r="D338" s="104" t="s">
        <v>2121</v>
      </c>
      <c r="E338" s="104" t="s">
        <v>2191</v>
      </c>
      <c r="G338" s="26" t="s">
        <v>341</v>
      </c>
    </row>
    <row r="339" spans="2:7" s="104" customFormat="1" ht="43.5" outlineLevel="1" x14ac:dyDescent="0.35">
      <c r="D339" s="104" t="s">
        <v>2130</v>
      </c>
      <c r="E339" s="104" t="s">
        <v>2101</v>
      </c>
      <c r="G339" s="26" t="s">
        <v>341</v>
      </c>
    </row>
    <row r="340" spans="2:7" ht="72.5" outlineLevel="1" x14ac:dyDescent="0.35">
      <c r="B340" s="105"/>
      <c r="C340" s="105"/>
      <c r="D340" s="104" t="s">
        <v>2890</v>
      </c>
      <c r="E340" s="104" t="s">
        <v>3943</v>
      </c>
      <c r="F340" s="62"/>
      <c r="G340" s="26" t="s">
        <v>341</v>
      </c>
    </row>
    <row r="341" spans="2:7" ht="43.5" outlineLevel="1" x14ac:dyDescent="0.35">
      <c r="B341" s="105"/>
      <c r="C341" s="105"/>
      <c r="D341" s="104" t="s">
        <v>2124</v>
      </c>
      <c r="E341" s="104" t="s">
        <v>2125</v>
      </c>
      <c r="F341" s="62"/>
      <c r="G341" s="26" t="s">
        <v>341</v>
      </c>
    </row>
    <row r="342" spans="2:7" ht="58" outlineLevel="1" x14ac:dyDescent="0.35">
      <c r="B342" s="105"/>
      <c r="C342" s="105"/>
      <c r="D342" s="104" t="s">
        <v>2122</v>
      </c>
      <c r="E342" s="104" t="s">
        <v>2123</v>
      </c>
      <c r="F342" s="62"/>
      <c r="G342" s="26" t="s">
        <v>341</v>
      </c>
    </row>
    <row r="343" spans="2:7" ht="58" outlineLevel="1" x14ac:dyDescent="0.35">
      <c r="B343" s="105"/>
      <c r="C343" s="105"/>
      <c r="D343" s="104" t="s">
        <v>2120</v>
      </c>
      <c r="E343" s="104" t="s">
        <v>3933</v>
      </c>
      <c r="F343" s="62"/>
      <c r="G343" s="26" t="s">
        <v>341</v>
      </c>
    </row>
    <row r="344" spans="2:7" ht="72.5" outlineLevel="1" x14ac:dyDescent="0.35">
      <c r="B344" s="105"/>
      <c r="C344" s="105"/>
      <c r="D344" s="104" t="s">
        <v>2849</v>
      </c>
      <c r="E344" s="104" t="s">
        <v>2615</v>
      </c>
      <c r="F344" s="62"/>
      <c r="G344" s="26" t="s">
        <v>341</v>
      </c>
    </row>
    <row r="345" spans="2:7" ht="87" outlineLevel="1" x14ac:dyDescent="0.35">
      <c r="B345" s="105"/>
      <c r="C345" s="105"/>
      <c r="D345" s="104" t="s">
        <v>2883</v>
      </c>
      <c r="E345" s="104" t="s">
        <v>2884</v>
      </c>
      <c r="F345" s="62"/>
      <c r="G345" s="26" t="s">
        <v>341</v>
      </c>
    </row>
    <row r="346" spans="2:7" ht="58" outlineLevel="1" x14ac:dyDescent="0.35">
      <c r="B346" s="105"/>
      <c r="C346" s="105"/>
      <c r="D346" s="104" t="s">
        <v>866</v>
      </c>
      <c r="E346" s="104" t="s">
        <v>1908</v>
      </c>
      <c r="F346" s="62"/>
      <c r="G346" s="26" t="s">
        <v>341</v>
      </c>
    </row>
    <row r="347" spans="2:7" ht="58" outlineLevel="1" x14ac:dyDescent="0.35">
      <c r="B347" s="105"/>
      <c r="C347" s="105"/>
      <c r="D347" s="104" t="s">
        <v>3121</v>
      </c>
      <c r="E347" s="104" t="s">
        <v>2762</v>
      </c>
      <c r="F347" s="62"/>
      <c r="G347" s="26" t="s">
        <v>341</v>
      </c>
    </row>
    <row r="348" spans="2:7" ht="87" outlineLevel="1" x14ac:dyDescent="0.35">
      <c r="B348" s="105"/>
      <c r="C348" s="105"/>
      <c r="D348" s="104" t="s">
        <v>3082</v>
      </c>
      <c r="E348" s="104" t="s">
        <v>3958</v>
      </c>
      <c r="F348" s="62"/>
      <c r="G348" s="26" t="s">
        <v>341</v>
      </c>
    </row>
    <row r="349" spans="2:7" ht="87" outlineLevel="1" x14ac:dyDescent="0.35">
      <c r="B349" s="105"/>
      <c r="C349" s="105"/>
      <c r="D349" s="104" t="s">
        <v>3083</v>
      </c>
      <c r="E349" s="104" t="s">
        <v>2880</v>
      </c>
      <c r="F349" s="62"/>
      <c r="G349" s="26" t="s">
        <v>341</v>
      </c>
    </row>
    <row r="350" spans="2:7" ht="58" outlineLevel="1" x14ac:dyDescent="0.35">
      <c r="B350" s="105"/>
      <c r="C350" s="105"/>
      <c r="D350" s="104" t="s">
        <v>2305</v>
      </c>
      <c r="E350" s="104" t="s">
        <v>4051</v>
      </c>
      <c r="F350" s="62"/>
      <c r="G350" s="26" t="s">
        <v>341</v>
      </c>
    </row>
    <row r="351" spans="2:7" ht="58" outlineLevel="1" x14ac:dyDescent="0.35">
      <c r="B351" s="84"/>
      <c r="C351" s="85"/>
      <c r="D351" s="104" t="s">
        <v>3391</v>
      </c>
      <c r="E351" s="104" t="s">
        <v>3392</v>
      </c>
      <c r="F351" s="62"/>
      <c r="G351" s="26" t="s">
        <v>341</v>
      </c>
    </row>
    <row r="352" spans="2:7" outlineLevel="1" x14ac:dyDescent="0.35">
      <c r="B352" s="105"/>
      <c r="C352" s="105"/>
      <c r="D352" s="4" t="s">
        <v>3810</v>
      </c>
      <c r="E352" s="104"/>
      <c r="F352" s="62"/>
      <c r="G352" s="103"/>
    </row>
    <row r="353" spans="2:7" ht="43.5" outlineLevel="1" x14ac:dyDescent="0.35">
      <c r="B353" s="84"/>
      <c r="C353" s="85"/>
      <c r="D353" s="104" t="s">
        <v>3290</v>
      </c>
      <c r="E353" s="106" t="s">
        <v>3295</v>
      </c>
      <c r="F353" s="62"/>
      <c r="G353" s="26" t="s">
        <v>341</v>
      </c>
    </row>
    <row r="354" spans="2:7" ht="43.5" outlineLevel="1" x14ac:dyDescent="0.35">
      <c r="B354" s="105"/>
      <c r="C354" s="105"/>
      <c r="D354" s="104" t="s">
        <v>3291</v>
      </c>
      <c r="E354" s="106" t="s">
        <v>3296</v>
      </c>
      <c r="F354" s="62"/>
      <c r="G354" s="26" t="s">
        <v>341</v>
      </c>
    </row>
    <row r="355" spans="2:7" ht="43.5" outlineLevel="1" x14ac:dyDescent="0.35">
      <c r="B355" s="105"/>
      <c r="C355" s="105"/>
      <c r="D355" s="104" t="s">
        <v>3292</v>
      </c>
      <c r="E355" s="104" t="s">
        <v>3297</v>
      </c>
      <c r="F355" s="62"/>
      <c r="G355" s="26" t="s">
        <v>341</v>
      </c>
    </row>
    <row r="356" spans="2:7" ht="72.5" outlineLevel="1" x14ac:dyDescent="0.35">
      <c r="B356" s="105"/>
      <c r="C356" s="105"/>
      <c r="D356" s="104" t="s">
        <v>3293</v>
      </c>
      <c r="E356" s="104" t="s">
        <v>3298</v>
      </c>
      <c r="F356" s="62"/>
      <c r="G356" s="26" t="s">
        <v>341</v>
      </c>
    </row>
    <row r="357" spans="2:7" ht="101.5" outlineLevel="1" x14ac:dyDescent="0.35">
      <c r="B357" s="105"/>
      <c r="C357" s="105"/>
      <c r="D357" s="104" t="s">
        <v>3294</v>
      </c>
      <c r="E357" s="104" t="s">
        <v>3299</v>
      </c>
      <c r="F357" s="62"/>
      <c r="G357" s="26" t="s">
        <v>341</v>
      </c>
    </row>
    <row r="358" spans="2:7" x14ac:dyDescent="0.35">
      <c r="B358" s="77"/>
      <c r="C358" s="77"/>
      <c r="D358" s="75" t="s">
        <v>3811</v>
      </c>
      <c r="E358" s="2"/>
      <c r="G358" s="88"/>
    </row>
    <row r="359" spans="2:7" outlineLevel="1" x14ac:dyDescent="0.35">
      <c r="B359" s="105"/>
      <c r="C359" s="105"/>
      <c r="D359" s="4" t="s">
        <v>3812</v>
      </c>
      <c r="E359" s="104"/>
      <c r="F359" s="62"/>
      <c r="G359" s="103"/>
    </row>
    <row r="360" spans="2:7" ht="101.5" outlineLevel="1" x14ac:dyDescent="0.35">
      <c r="B360" s="84"/>
      <c r="C360" s="85"/>
      <c r="D360" s="104" t="s">
        <v>3102</v>
      </c>
      <c r="E360" s="104" t="s">
        <v>3068</v>
      </c>
      <c r="F360" s="62"/>
      <c r="G360" s="26" t="s">
        <v>341</v>
      </c>
    </row>
    <row r="361" spans="2:7" ht="29" outlineLevel="1" x14ac:dyDescent="0.35">
      <c r="B361" s="84"/>
      <c r="C361" s="85"/>
      <c r="D361" s="104" t="s">
        <v>3103</v>
      </c>
      <c r="E361" s="104" t="s">
        <v>1175</v>
      </c>
      <c r="F361" s="62"/>
      <c r="G361" s="26" t="s">
        <v>341</v>
      </c>
    </row>
    <row r="362" spans="2:7" ht="72.5" outlineLevel="1" x14ac:dyDescent="0.35">
      <c r="B362" s="84"/>
      <c r="C362" s="85"/>
      <c r="D362" s="104" t="s">
        <v>3071</v>
      </c>
      <c r="E362" s="104" t="s">
        <v>1256</v>
      </c>
      <c r="F362" s="62"/>
      <c r="G362" s="26" t="s">
        <v>341</v>
      </c>
    </row>
    <row r="363" spans="2:7" ht="43.5" outlineLevel="1" x14ac:dyDescent="0.35">
      <c r="B363" s="84"/>
      <c r="C363" s="85"/>
      <c r="D363" s="104" t="s">
        <v>3072</v>
      </c>
      <c r="E363" s="104" t="s">
        <v>1257</v>
      </c>
      <c r="F363" s="62"/>
      <c r="G363" s="26" t="s">
        <v>341</v>
      </c>
    </row>
    <row r="364" spans="2:7" ht="43.5" outlineLevel="1" x14ac:dyDescent="0.35">
      <c r="B364" s="84"/>
      <c r="C364" s="85"/>
      <c r="D364" s="104" t="s">
        <v>3069</v>
      </c>
      <c r="E364" s="104" t="s">
        <v>1172</v>
      </c>
      <c r="F364" s="62"/>
      <c r="G364" s="26" t="s">
        <v>341</v>
      </c>
    </row>
    <row r="365" spans="2:7" ht="43.5" outlineLevel="1" x14ac:dyDescent="0.35">
      <c r="B365" s="84"/>
      <c r="C365" s="85"/>
      <c r="D365" s="104" t="s">
        <v>3070</v>
      </c>
      <c r="E365" s="104" t="s">
        <v>2459</v>
      </c>
      <c r="F365" s="62"/>
      <c r="G365" s="26" t="s">
        <v>341</v>
      </c>
    </row>
    <row r="366" spans="2:7" ht="87" outlineLevel="1" x14ac:dyDescent="0.35">
      <c r="B366" s="84"/>
      <c r="C366" s="85"/>
      <c r="D366" s="104" t="s">
        <v>3082</v>
      </c>
      <c r="E366" s="104" t="s">
        <v>3958</v>
      </c>
      <c r="F366" s="62"/>
      <c r="G366" s="26" t="s">
        <v>341</v>
      </c>
    </row>
    <row r="367" spans="2:7" ht="29" outlineLevel="1" x14ac:dyDescent="0.35">
      <c r="B367" s="84"/>
      <c r="C367" s="85"/>
      <c r="D367" s="104" t="s">
        <v>3104</v>
      </c>
      <c r="E367" s="104" t="s">
        <v>1171</v>
      </c>
      <c r="F367" s="62"/>
      <c r="G367" s="26" t="s">
        <v>341</v>
      </c>
    </row>
    <row r="368" spans="2:7" ht="87" outlineLevel="1" x14ac:dyDescent="0.35">
      <c r="B368" s="84"/>
      <c r="C368" s="85"/>
      <c r="D368" s="104" t="s">
        <v>3083</v>
      </c>
      <c r="E368" s="104" t="s">
        <v>2880</v>
      </c>
      <c r="F368" s="62"/>
      <c r="G368" s="26" t="s">
        <v>341</v>
      </c>
    </row>
    <row r="369" spans="2:7" ht="58" outlineLevel="1" x14ac:dyDescent="0.35">
      <c r="B369" s="84"/>
      <c r="C369" s="85"/>
      <c r="D369" s="104" t="s">
        <v>3121</v>
      </c>
      <c r="E369" s="104" t="s">
        <v>2762</v>
      </c>
      <c r="F369" s="62"/>
      <c r="G369" s="26" t="s">
        <v>341</v>
      </c>
    </row>
    <row r="370" spans="2:7" ht="58" outlineLevel="1" x14ac:dyDescent="0.35">
      <c r="B370" s="84"/>
      <c r="C370" s="85"/>
      <c r="D370" s="104" t="s">
        <v>3488</v>
      </c>
      <c r="E370" s="106" t="s">
        <v>1258</v>
      </c>
      <c r="F370" s="62"/>
      <c r="G370" s="26" t="s">
        <v>341</v>
      </c>
    </row>
    <row r="371" spans="2:7" ht="29" outlineLevel="1" x14ac:dyDescent="0.35">
      <c r="B371" s="84"/>
      <c r="C371" s="85"/>
      <c r="D371" s="104" t="s">
        <v>3073</v>
      </c>
      <c r="E371" s="104" t="s">
        <v>1177</v>
      </c>
      <c r="F371" s="62"/>
      <c r="G371" s="26" t="s">
        <v>341</v>
      </c>
    </row>
    <row r="372" spans="2:7" x14ac:dyDescent="0.35">
      <c r="B372" s="77"/>
      <c r="C372" s="77"/>
      <c r="D372" s="75" t="s">
        <v>3813</v>
      </c>
      <c r="E372" s="2"/>
      <c r="G372" s="88"/>
    </row>
    <row r="373" spans="2:7" outlineLevel="1" x14ac:dyDescent="0.35">
      <c r="B373" s="105"/>
      <c r="C373" s="105"/>
      <c r="D373" s="4" t="s">
        <v>4357</v>
      </c>
      <c r="E373" s="104"/>
      <c r="F373" s="62"/>
      <c r="G373" s="103"/>
    </row>
    <row r="374" spans="2:7" ht="72.5" outlineLevel="1" x14ac:dyDescent="0.35">
      <c r="B374" s="84"/>
      <c r="C374" s="85"/>
      <c r="D374" s="104" t="s">
        <v>3498</v>
      </c>
      <c r="E374" s="104" t="s">
        <v>1981</v>
      </c>
      <c r="F374" s="62"/>
      <c r="G374" s="26" t="s">
        <v>341</v>
      </c>
    </row>
    <row r="375" spans="2:7" ht="58" outlineLevel="1" x14ac:dyDescent="0.35">
      <c r="B375" s="84"/>
      <c r="C375" s="85"/>
      <c r="D375" s="104" t="s">
        <v>1578</v>
      </c>
      <c r="E375" s="104" t="s">
        <v>2228</v>
      </c>
      <c r="F375" s="62"/>
      <c r="G375" s="26" t="s">
        <v>341</v>
      </c>
    </row>
    <row r="376" spans="2:7" ht="72.5" outlineLevel="1" x14ac:dyDescent="0.35">
      <c r="B376" s="105"/>
      <c r="C376" s="105"/>
      <c r="D376" s="104" t="s">
        <v>1579</v>
      </c>
      <c r="E376" s="104" t="s">
        <v>1979</v>
      </c>
      <c r="F376" s="62"/>
      <c r="G376" s="26" t="s">
        <v>341</v>
      </c>
    </row>
    <row r="377" spans="2:7" ht="58" outlineLevel="1" x14ac:dyDescent="0.35">
      <c r="B377" s="84"/>
      <c r="C377" s="85"/>
      <c r="D377" s="104" t="s">
        <v>2325</v>
      </c>
      <c r="E377" s="104" t="s">
        <v>2326</v>
      </c>
      <c r="F377" s="62"/>
      <c r="G377" s="26" t="s">
        <v>341</v>
      </c>
    </row>
    <row r="378" spans="2:7" ht="43.5" outlineLevel="1" x14ac:dyDescent="0.35">
      <c r="B378" s="84"/>
      <c r="C378" s="85"/>
      <c r="D378" s="104" t="s">
        <v>3489</v>
      </c>
      <c r="E378" s="104" t="s">
        <v>2327</v>
      </c>
      <c r="F378" s="62"/>
      <c r="G378" s="26" t="s">
        <v>341</v>
      </c>
    </row>
    <row r="379" spans="2:7" ht="43.5" outlineLevel="1" x14ac:dyDescent="0.35">
      <c r="B379" s="105"/>
      <c r="C379" s="105"/>
      <c r="D379" s="104" t="s">
        <v>2735</v>
      </c>
      <c r="E379" s="104" t="s">
        <v>743</v>
      </c>
      <c r="F379" s="62"/>
      <c r="G379" s="26" t="s">
        <v>341</v>
      </c>
    </row>
    <row r="380" spans="2:7" outlineLevel="1" x14ac:dyDescent="0.35">
      <c r="B380" s="105"/>
      <c r="C380" s="105"/>
      <c r="D380" s="4" t="s">
        <v>4358</v>
      </c>
      <c r="E380" s="104"/>
      <c r="F380" s="62"/>
      <c r="G380" s="103"/>
    </row>
    <row r="381" spans="2:7" ht="58" outlineLevel="1" x14ac:dyDescent="0.35">
      <c r="B381" s="105"/>
      <c r="C381" s="105"/>
      <c r="D381" s="104" t="s">
        <v>4359</v>
      </c>
      <c r="E381" s="104" t="s">
        <v>4362</v>
      </c>
      <c r="F381" s="62"/>
      <c r="G381" s="26" t="s">
        <v>341</v>
      </c>
    </row>
    <row r="382" spans="2:7" ht="72.5" outlineLevel="1" x14ac:dyDescent="0.35">
      <c r="B382" s="105"/>
      <c r="C382" s="105"/>
      <c r="D382" s="104" t="s">
        <v>4360</v>
      </c>
      <c r="E382" s="104" t="s">
        <v>4437</v>
      </c>
      <c r="F382" s="62"/>
      <c r="G382" s="26" t="s">
        <v>341</v>
      </c>
    </row>
    <row r="383" spans="2:7" outlineLevel="1" x14ac:dyDescent="0.35">
      <c r="B383" s="105"/>
      <c r="C383" s="105"/>
      <c r="D383" s="104" t="s">
        <v>4361</v>
      </c>
      <c r="E383" s="104" t="s">
        <v>4374</v>
      </c>
      <c r="F383" s="62"/>
      <c r="G383" s="26" t="s">
        <v>341</v>
      </c>
    </row>
    <row r="384" spans="2:7" outlineLevel="1" x14ac:dyDescent="0.35">
      <c r="B384" s="105"/>
      <c r="C384" s="105"/>
      <c r="D384" s="4" t="s">
        <v>5366</v>
      </c>
      <c r="E384" s="104"/>
      <c r="F384" s="62"/>
      <c r="G384" s="103"/>
    </row>
    <row r="385" spans="2:7" ht="101.5" outlineLevel="1" x14ac:dyDescent="0.35">
      <c r="B385" s="105"/>
      <c r="C385" s="105"/>
      <c r="D385" s="104" t="s">
        <v>5365</v>
      </c>
      <c r="E385" s="104" t="s">
        <v>5367</v>
      </c>
      <c r="F385" s="62"/>
      <c r="G385" s="26" t="s">
        <v>341</v>
      </c>
    </row>
    <row r="386" spans="2:7" ht="101.5" outlineLevel="1" x14ac:dyDescent="0.35">
      <c r="B386" s="180"/>
      <c r="C386" s="180"/>
      <c r="D386" s="104" t="s">
        <v>5561</v>
      </c>
      <c r="E386" s="104" t="s">
        <v>5562</v>
      </c>
      <c r="F386" s="62"/>
      <c r="G386" s="26" t="s">
        <v>341</v>
      </c>
    </row>
    <row r="387" spans="2:7" x14ac:dyDescent="0.35">
      <c r="B387" s="77"/>
      <c r="C387" s="77"/>
      <c r="D387" s="75" t="s">
        <v>3814</v>
      </c>
      <c r="E387" s="2"/>
      <c r="G387" s="88"/>
    </row>
    <row r="388" spans="2:7" outlineLevel="1" x14ac:dyDescent="0.35">
      <c r="B388" s="105"/>
      <c r="C388" s="105"/>
      <c r="D388" s="4" t="s">
        <v>3815</v>
      </c>
      <c r="E388" s="104"/>
      <c r="F388" s="62"/>
      <c r="G388" s="103"/>
    </row>
    <row r="389" spans="2:7" ht="58" outlineLevel="1" x14ac:dyDescent="0.35">
      <c r="B389" s="105"/>
      <c r="C389" s="105"/>
      <c r="D389" s="104" t="s">
        <v>962</v>
      </c>
      <c r="E389" s="104" t="s">
        <v>969</v>
      </c>
      <c r="F389" s="62"/>
      <c r="G389" s="26" t="s">
        <v>341</v>
      </c>
    </row>
    <row r="390" spans="2:7" ht="43.5" outlineLevel="1" x14ac:dyDescent="0.35">
      <c r="B390" s="105"/>
      <c r="C390" s="105"/>
      <c r="D390" s="104" t="s">
        <v>1427</v>
      </c>
      <c r="E390" s="104" t="s">
        <v>1705</v>
      </c>
      <c r="F390" s="62"/>
      <c r="G390" s="26" t="s">
        <v>341</v>
      </c>
    </row>
    <row r="391" spans="2:7" ht="43.5" outlineLevel="1" x14ac:dyDescent="0.35">
      <c r="B391" s="105"/>
      <c r="C391" s="105"/>
      <c r="D391" s="104" t="s">
        <v>4088</v>
      </c>
      <c r="E391" s="104" t="s">
        <v>2221</v>
      </c>
      <c r="F391" s="62"/>
      <c r="G391" s="26" t="s">
        <v>341</v>
      </c>
    </row>
    <row r="392" spans="2:7" ht="58" outlineLevel="1" x14ac:dyDescent="0.35">
      <c r="B392" s="105"/>
      <c r="C392" s="105"/>
      <c r="D392" s="104" t="s">
        <v>2223</v>
      </c>
      <c r="E392" s="104" t="s">
        <v>2962</v>
      </c>
      <c r="F392" s="62"/>
      <c r="G392" s="26" t="s">
        <v>341</v>
      </c>
    </row>
    <row r="393" spans="2:7" ht="72.5" outlineLevel="1" x14ac:dyDescent="0.35">
      <c r="B393" s="105"/>
      <c r="C393" s="105"/>
      <c r="D393" s="104" t="s">
        <v>2306</v>
      </c>
      <c r="E393" s="104" t="s">
        <v>2219</v>
      </c>
      <c r="F393" s="62"/>
      <c r="G393" s="26" t="s">
        <v>341</v>
      </c>
    </row>
    <row r="394" spans="2:7" ht="58" outlineLevel="1" x14ac:dyDescent="0.35">
      <c r="B394" s="105"/>
      <c r="C394" s="105"/>
      <c r="D394" s="104" t="s">
        <v>2305</v>
      </c>
      <c r="E394" s="104" t="s">
        <v>4051</v>
      </c>
      <c r="F394" s="62"/>
      <c r="G394" s="26" t="s">
        <v>341</v>
      </c>
    </row>
    <row r="395" spans="2:7" s="104" customFormat="1" ht="43.5" outlineLevel="1" x14ac:dyDescent="0.35">
      <c r="D395" s="104" t="s">
        <v>3476</v>
      </c>
      <c r="E395" s="104" t="s">
        <v>348</v>
      </c>
      <c r="G395" s="26" t="s">
        <v>341</v>
      </c>
    </row>
    <row r="396" spans="2:7" s="104" customFormat="1" ht="58" outlineLevel="1" x14ac:dyDescent="0.35">
      <c r="D396" s="104" t="s">
        <v>2304</v>
      </c>
      <c r="E396" s="104" t="s">
        <v>3931</v>
      </c>
      <c r="G396" s="26" t="s">
        <v>341</v>
      </c>
    </row>
    <row r="397" spans="2:7" s="104" customFormat="1" ht="72.5" outlineLevel="1" x14ac:dyDescent="0.35">
      <c r="D397" s="104" t="s">
        <v>2303</v>
      </c>
      <c r="E397" s="104" t="s">
        <v>2218</v>
      </c>
      <c r="G397" s="26" t="s">
        <v>341</v>
      </c>
    </row>
    <row r="398" spans="2:7" ht="58" outlineLevel="1" x14ac:dyDescent="0.35">
      <c r="B398" s="105"/>
      <c r="C398" s="105"/>
      <c r="D398" s="104" t="s">
        <v>1428</v>
      </c>
      <c r="E398" s="165" t="s">
        <v>3940</v>
      </c>
      <c r="F398" s="62"/>
      <c r="G398" s="26" t="s">
        <v>341</v>
      </c>
    </row>
    <row r="399" spans="2:7" ht="87" outlineLevel="1" x14ac:dyDescent="0.35">
      <c r="B399" s="105"/>
      <c r="C399" s="105"/>
      <c r="D399" s="104" t="s">
        <v>3484</v>
      </c>
      <c r="E399" s="106" t="s">
        <v>1932</v>
      </c>
      <c r="F399" s="62"/>
      <c r="G399" s="26" t="s">
        <v>341</v>
      </c>
    </row>
    <row r="400" spans="2:7" s="104" customFormat="1" ht="58" outlineLevel="1" x14ac:dyDescent="0.35">
      <c r="D400" s="104" t="s">
        <v>1706</v>
      </c>
      <c r="E400" s="104" t="s">
        <v>4022</v>
      </c>
      <c r="G400" s="26" t="s">
        <v>341</v>
      </c>
    </row>
    <row r="401" spans="2:7" ht="72.5" outlineLevel="1" x14ac:dyDescent="0.35">
      <c r="B401" s="105"/>
      <c r="C401" s="105"/>
      <c r="D401" s="104" t="s">
        <v>3485</v>
      </c>
      <c r="E401" s="104" t="s">
        <v>4025</v>
      </c>
      <c r="F401" s="62"/>
      <c r="G401" s="26" t="s">
        <v>341</v>
      </c>
    </row>
    <row r="402" spans="2:7" ht="72.5" outlineLevel="1" x14ac:dyDescent="0.35">
      <c r="B402" s="105"/>
      <c r="C402" s="105"/>
      <c r="D402" s="104" t="s">
        <v>1262</v>
      </c>
      <c r="E402" s="104" t="s">
        <v>1733</v>
      </c>
      <c r="F402" s="62"/>
      <c r="G402" s="26" t="s">
        <v>341</v>
      </c>
    </row>
    <row r="403" spans="2:7" ht="116" outlineLevel="1" x14ac:dyDescent="0.35">
      <c r="B403" s="105"/>
      <c r="C403" s="105"/>
      <c r="D403" s="104" t="s">
        <v>1744</v>
      </c>
      <c r="E403" s="104" t="s">
        <v>3057</v>
      </c>
      <c r="F403" s="62"/>
      <c r="G403" s="26" t="s">
        <v>341</v>
      </c>
    </row>
    <row r="404" spans="2:7" ht="72.5" outlineLevel="1" x14ac:dyDescent="0.35">
      <c r="B404" s="105"/>
      <c r="C404" s="105"/>
      <c r="D404" s="104" t="s">
        <v>1746</v>
      </c>
      <c r="E404" s="104" t="s">
        <v>2892</v>
      </c>
      <c r="F404" s="62"/>
      <c r="G404" s="26" t="s">
        <v>341</v>
      </c>
    </row>
    <row r="405" spans="2:7" ht="130.5" outlineLevel="1" x14ac:dyDescent="0.35">
      <c r="B405" s="105"/>
      <c r="C405" s="105"/>
      <c r="D405" s="104" t="s">
        <v>1745</v>
      </c>
      <c r="E405" s="104" t="s">
        <v>3058</v>
      </c>
      <c r="F405" s="62"/>
      <c r="G405" s="26" t="s">
        <v>341</v>
      </c>
    </row>
    <row r="406" spans="2:7" ht="87" outlineLevel="1" x14ac:dyDescent="0.35">
      <c r="B406" s="105"/>
      <c r="C406" s="105"/>
      <c r="D406" s="104" t="s">
        <v>1754</v>
      </c>
      <c r="E406" s="104" t="s">
        <v>2893</v>
      </c>
      <c r="F406" s="62"/>
      <c r="G406" s="26" t="s">
        <v>341</v>
      </c>
    </row>
    <row r="407" spans="2:7" ht="174" outlineLevel="1" x14ac:dyDescent="0.35">
      <c r="B407" s="105"/>
      <c r="C407" s="105"/>
      <c r="D407" s="104" t="s">
        <v>4119</v>
      </c>
      <c r="E407" s="104" t="s">
        <v>5685</v>
      </c>
      <c r="F407" s="62"/>
      <c r="G407" s="26" t="s">
        <v>341</v>
      </c>
    </row>
    <row r="408" spans="2:7" ht="58" outlineLevel="1" x14ac:dyDescent="0.35">
      <c r="B408" s="105"/>
      <c r="C408" s="105"/>
      <c r="D408" s="104" t="s">
        <v>3121</v>
      </c>
      <c r="E408" s="104" t="s">
        <v>2762</v>
      </c>
      <c r="F408" s="62"/>
      <c r="G408" s="26" t="s">
        <v>341</v>
      </c>
    </row>
    <row r="409" spans="2:7" ht="101.5" outlineLevel="1" x14ac:dyDescent="0.35">
      <c r="B409" s="84"/>
      <c r="C409" s="85"/>
      <c r="D409" s="104" t="s">
        <v>3044</v>
      </c>
      <c r="E409" s="104" t="s">
        <v>3050</v>
      </c>
      <c r="F409" s="62"/>
      <c r="G409" s="26" t="s">
        <v>341</v>
      </c>
    </row>
    <row r="410" spans="2:7" ht="72.5" outlineLevel="1" x14ac:dyDescent="0.35">
      <c r="B410" s="84"/>
      <c r="C410" s="85"/>
      <c r="D410" s="104" t="s">
        <v>3043</v>
      </c>
      <c r="E410" s="104" t="s">
        <v>3045</v>
      </c>
      <c r="F410" s="62"/>
      <c r="G410" s="26" t="s">
        <v>341</v>
      </c>
    </row>
    <row r="411" spans="2:7" outlineLevel="1" x14ac:dyDescent="0.35">
      <c r="B411" s="84"/>
      <c r="C411" s="85"/>
      <c r="D411" s="4" t="s">
        <v>3816</v>
      </c>
      <c r="E411" s="104"/>
      <c r="F411" s="62"/>
      <c r="G411" s="104"/>
    </row>
    <row r="412" spans="2:7" ht="58" outlineLevel="1" x14ac:dyDescent="0.35">
      <c r="B412" s="105"/>
      <c r="C412" s="105"/>
      <c r="D412" s="104" t="s">
        <v>2240</v>
      </c>
      <c r="E412" s="104" t="s">
        <v>969</v>
      </c>
      <c r="F412" s="62"/>
      <c r="G412" s="26" t="s">
        <v>341</v>
      </c>
    </row>
    <row r="413" spans="2:7" ht="43.5" outlineLevel="1" x14ac:dyDescent="0.35">
      <c r="B413" s="105"/>
      <c r="C413" s="105"/>
      <c r="D413" s="104" t="s">
        <v>1710</v>
      </c>
      <c r="E413" s="104" t="s">
        <v>1726</v>
      </c>
      <c r="F413" s="62"/>
      <c r="G413" s="26" t="s">
        <v>341</v>
      </c>
    </row>
    <row r="414" spans="2:7" ht="43.5" outlineLevel="1" x14ac:dyDescent="0.35">
      <c r="B414" s="105"/>
      <c r="C414" s="105"/>
      <c r="D414" s="104" t="s">
        <v>3159</v>
      </c>
      <c r="E414" s="104" t="s">
        <v>3942</v>
      </c>
      <c r="F414" s="62"/>
      <c r="G414" s="26" t="s">
        <v>341</v>
      </c>
    </row>
    <row r="415" spans="2:7" ht="72.5" outlineLevel="1" x14ac:dyDescent="0.35">
      <c r="B415" s="105"/>
      <c r="C415" s="105"/>
      <c r="D415" s="104" t="s">
        <v>2238</v>
      </c>
      <c r="E415" s="104" t="s">
        <v>2970</v>
      </c>
      <c r="F415" s="62"/>
      <c r="G415" s="26" t="s">
        <v>341</v>
      </c>
    </row>
    <row r="416" spans="2:7" ht="72.5" outlineLevel="1" x14ac:dyDescent="0.35">
      <c r="B416" s="105"/>
      <c r="C416" s="105"/>
      <c r="D416" s="104" t="s">
        <v>2236</v>
      </c>
      <c r="E416" s="104" t="s">
        <v>2314</v>
      </c>
      <c r="F416" s="62"/>
      <c r="G416" s="26" t="s">
        <v>341</v>
      </c>
    </row>
    <row r="417" spans="2:7" ht="58" outlineLevel="1" x14ac:dyDescent="0.35">
      <c r="B417" s="105"/>
      <c r="C417" s="105"/>
      <c r="D417" s="104" t="s">
        <v>2226</v>
      </c>
      <c r="E417" s="104" t="s">
        <v>2736</v>
      </c>
      <c r="F417" s="62"/>
      <c r="G417" s="26" t="s">
        <v>341</v>
      </c>
    </row>
    <row r="418" spans="2:7" ht="43.5" outlineLevel="1" x14ac:dyDescent="0.35">
      <c r="B418" s="105"/>
      <c r="C418" s="105"/>
      <c r="D418" s="104" t="s">
        <v>3158</v>
      </c>
      <c r="E418" s="104" t="s">
        <v>1708</v>
      </c>
      <c r="F418" s="62"/>
      <c r="G418" s="26" t="s">
        <v>341</v>
      </c>
    </row>
    <row r="419" spans="2:7" ht="87" outlineLevel="1" x14ac:dyDescent="0.35">
      <c r="B419" s="105"/>
      <c r="C419" s="105"/>
      <c r="D419" s="104" t="s">
        <v>2234</v>
      </c>
      <c r="E419" s="104" t="s">
        <v>1709</v>
      </c>
      <c r="F419" s="62"/>
      <c r="G419" s="26" t="s">
        <v>341</v>
      </c>
    </row>
    <row r="420" spans="2:7" ht="58" outlineLevel="1" x14ac:dyDescent="0.35">
      <c r="B420" s="105"/>
      <c r="C420" s="105"/>
      <c r="D420" s="104" t="s">
        <v>3486</v>
      </c>
      <c r="E420" s="104" t="s">
        <v>1707</v>
      </c>
      <c r="F420" s="62"/>
      <c r="G420" s="26" t="s">
        <v>341</v>
      </c>
    </row>
    <row r="421" spans="2:7" ht="43.5" outlineLevel="1" x14ac:dyDescent="0.35">
      <c r="B421" s="105"/>
      <c r="C421" s="105"/>
      <c r="D421" s="104" t="s">
        <v>3487</v>
      </c>
      <c r="E421" s="104" t="s">
        <v>1261</v>
      </c>
      <c r="F421" s="62"/>
      <c r="G421" s="26" t="s">
        <v>341</v>
      </c>
    </row>
    <row r="422" spans="2:7" ht="29" outlineLevel="1" x14ac:dyDescent="0.35">
      <c r="B422" s="105"/>
      <c r="C422" s="105"/>
      <c r="D422" s="104" t="s">
        <v>2227</v>
      </c>
      <c r="E422" s="104" t="s">
        <v>2315</v>
      </c>
      <c r="F422" s="62"/>
      <c r="G422" s="26" t="s">
        <v>341</v>
      </c>
    </row>
    <row r="423" spans="2:7" ht="43.5" outlineLevel="1" x14ac:dyDescent="0.35">
      <c r="B423" s="105"/>
      <c r="C423" s="105"/>
      <c r="D423" s="104" t="s">
        <v>2232</v>
      </c>
      <c r="E423" s="104" t="s">
        <v>2310</v>
      </c>
      <c r="F423" s="62"/>
      <c r="G423" s="26" t="s">
        <v>341</v>
      </c>
    </row>
    <row r="424" spans="2:7" ht="72.5" outlineLevel="1" x14ac:dyDescent="0.35">
      <c r="B424" s="105"/>
      <c r="C424" s="105"/>
      <c r="D424" s="104" t="s">
        <v>2604</v>
      </c>
      <c r="E424" s="104" t="s">
        <v>2312</v>
      </c>
      <c r="F424" s="62"/>
      <c r="G424" s="26" t="s">
        <v>341</v>
      </c>
    </row>
    <row r="425" spans="2:7" x14ac:dyDescent="0.35">
      <c r="B425" s="77"/>
      <c r="C425" s="77"/>
      <c r="D425" s="75" t="s">
        <v>3817</v>
      </c>
      <c r="E425" s="2"/>
      <c r="G425" s="88"/>
    </row>
    <row r="426" spans="2:7" ht="58" outlineLevel="1" x14ac:dyDescent="0.35">
      <c r="B426" s="105"/>
      <c r="C426" s="105"/>
      <c r="D426" s="104" t="s">
        <v>4223</v>
      </c>
      <c r="E426" s="104" t="s">
        <v>3285</v>
      </c>
      <c r="F426" s="62"/>
      <c r="G426" s="26" t="s">
        <v>341</v>
      </c>
    </row>
    <row r="427" spans="2:7" ht="58" outlineLevel="1" x14ac:dyDescent="0.35">
      <c r="B427" s="105"/>
      <c r="C427" s="105"/>
      <c r="D427" s="104" t="s">
        <v>3280</v>
      </c>
      <c r="E427" s="104" t="s">
        <v>969</v>
      </c>
      <c r="F427" s="62"/>
      <c r="G427" s="26" t="s">
        <v>341</v>
      </c>
    </row>
    <row r="428" spans="2:7" ht="58" outlineLevel="1" x14ac:dyDescent="0.35">
      <c r="B428" s="105"/>
      <c r="C428" s="105"/>
      <c r="D428" s="104" t="s">
        <v>2304</v>
      </c>
      <c r="E428" s="104" t="s">
        <v>3931</v>
      </c>
      <c r="F428" s="62"/>
      <c r="G428" s="26" t="s">
        <v>341</v>
      </c>
    </row>
    <row r="429" spans="2:7" ht="72.5" outlineLevel="1" x14ac:dyDescent="0.35">
      <c r="B429" s="105"/>
      <c r="C429" s="105"/>
      <c r="D429" s="104" t="s">
        <v>2303</v>
      </c>
      <c r="E429" s="104" t="s">
        <v>2218</v>
      </c>
      <c r="F429" s="62"/>
      <c r="G429" s="26" t="s">
        <v>341</v>
      </c>
    </row>
    <row r="430" spans="2:7" ht="72.5" outlineLevel="1" x14ac:dyDescent="0.35">
      <c r="B430" s="105"/>
      <c r="C430" s="105"/>
      <c r="D430" s="104" t="s">
        <v>3281</v>
      </c>
      <c r="E430" s="104" t="s">
        <v>2892</v>
      </c>
      <c r="F430" s="62"/>
      <c r="G430" s="26" t="s">
        <v>341</v>
      </c>
    </row>
    <row r="431" spans="2:7" ht="87" outlineLevel="1" x14ac:dyDescent="0.35">
      <c r="B431" s="105"/>
      <c r="C431" s="105"/>
      <c r="D431" s="104" t="s">
        <v>3282</v>
      </c>
      <c r="E431" s="104" t="s">
        <v>2893</v>
      </c>
      <c r="F431" s="62"/>
      <c r="G431" s="26" t="s">
        <v>341</v>
      </c>
    </row>
    <row r="432" spans="2:7" ht="72.5" outlineLevel="1" x14ac:dyDescent="0.35">
      <c r="B432" s="105"/>
      <c r="C432" s="105"/>
      <c r="D432" s="104" t="s">
        <v>3329</v>
      </c>
      <c r="E432" s="104" t="s">
        <v>1733</v>
      </c>
      <c r="F432" s="62"/>
      <c r="G432" s="26" t="s">
        <v>341</v>
      </c>
    </row>
    <row r="433" spans="2:7" ht="87" outlineLevel="1" x14ac:dyDescent="0.35">
      <c r="B433" s="105"/>
      <c r="C433" s="105"/>
      <c r="D433" s="104" t="s">
        <v>3484</v>
      </c>
      <c r="E433" s="104" t="s">
        <v>1932</v>
      </c>
      <c r="F433" s="62"/>
      <c r="G433" s="26" t="s">
        <v>341</v>
      </c>
    </row>
    <row r="434" spans="2:7" ht="116" outlineLevel="1" x14ac:dyDescent="0.35">
      <c r="B434" s="105"/>
      <c r="C434" s="105"/>
      <c r="D434" s="104" t="s">
        <v>3283</v>
      </c>
      <c r="E434" s="104" t="s">
        <v>3057</v>
      </c>
      <c r="F434" s="62"/>
      <c r="G434" s="26" t="s">
        <v>341</v>
      </c>
    </row>
    <row r="435" spans="2:7" ht="130.5" outlineLevel="1" x14ac:dyDescent="0.35">
      <c r="B435" s="105"/>
      <c r="C435" s="105"/>
      <c r="D435" s="104" t="s">
        <v>3284</v>
      </c>
      <c r="E435" s="106" t="s">
        <v>3058</v>
      </c>
      <c r="F435" s="62"/>
      <c r="G435" s="26" t="s">
        <v>341</v>
      </c>
    </row>
    <row r="436" spans="2:7" ht="72.5" outlineLevel="1" x14ac:dyDescent="0.35">
      <c r="B436" s="105"/>
      <c r="C436" s="105"/>
      <c r="D436" s="104" t="s">
        <v>2306</v>
      </c>
      <c r="E436" s="106" t="s">
        <v>2219</v>
      </c>
      <c r="F436" s="62"/>
      <c r="G436" s="26" t="s">
        <v>341</v>
      </c>
    </row>
    <row r="437" spans="2:7" ht="58" outlineLevel="1" x14ac:dyDescent="0.35">
      <c r="B437" s="105"/>
      <c r="C437" s="105"/>
      <c r="D437" s="104" t="s">
        <v>2223</v>
      </c>
      <c r="E437" s="104" t="s">
        <v>2962</v>
      </c>
      <c r="F437" s="62"/>
      <c r="G437" s="26" t="s">
        <v>341</v>
      </c>
    </row>
    <row r="438" spans="2:7" ht="43.5" outlineLevel="1" x14ac:dyDescent="0.35">
      <c r="B438" s="84"/>
      <c r="C438" s="85"/>
      <c r="D438" s="104" t="s">
        <v>3476</v>
      </c>
      <c r="E438" s="104" t="s">
        <v>348</v>
      </c>
      <c r="F438" s="62"/>
      <c r="G438" s="26" t="s">
        <v>341</v>
      </c>
    </row>
    <row r="439" spans="2:7" ht="58" outlineLevel="1" x14ac:dyDescent="0.35">
      <c r="B439" s="84"/>
      <c r="C439" s="85"/>
      <c r="D439" s="104" t="s">
        <v>2305</v>
      </c>
      <c r="E439" s="104" t="s">
        <v>4051</v>
      </c>
      <c r="F439" s="62"/>
      <c r="G439" s="26" t="s">
        <v>341</v>
      </c>
    </row>
    <row r="440" spans="2:7" x14ac:dyDescent="0.35">
      <c r="B440" s="77"/>
      <c r="C440" s="77"/>
      <c r="D440" s="75" t="s">
        <v>3818</v>
      </c>
      <c r="E440" s="2"/>
      <c r="G440" s="88"/>
    </row>
    <row r="441" spans="2:7" ht="43.5" outlineLevel="1" x14ac:dyDescent="0.35">
      <c r="B441" s="105"/>
      <c r="C441" s="105"/>
      <c r="D441" s="104" t="s">
        <v>2029</v>
      </c>
      <c r="E441" s="104" t="s">
        <v>2033</v>
      </c>
      <c r="F441" s="62"/>
      <c r="G441" s="26" t="s">
        <v>341</v>
      </c>
    </row>
    <row r="442" spans="2:7" ht="43.5" outlineLevel="1" x14ac:dyDescent="0.35">
      <c r="B442" s="105"/>
      <c r="C442" s="105"/>
      <c r="D442" s="104" t="s">
        <v>2030</v>
      </c>
      <c r="E442" s="104" t="s">
        <v>2032</v>
      </c>
      <c r="F442" s="62"/>
      <c r="G442" s="26" t="s">
        <v>341</v>
      </c>
    </row>
    <row r="443" spans="2:7" x14ac:dyDescent="0.35">
      <c r="B443" s="77"/>
      <c r="C443" s="77"/>
      <c r="D443" s="75" t="s">
        <v>3819</v>
      </c>
      <c r="E443" s="2"/>
      <c r="G443" s="88"/>
    </row>
    <row r="444" spans="2:7" ht="72.5" outlineLevel="1" x14ac:dyDescent="0.35">
      <c r="B444" s="105"/>
      <c r="C444" s="105"/>
      <c r="D444" s="104" t="s">
        <v>1941</v>
      </c>
      <c r="E444" s="104" t="s">
        <v>4029</v>
      </c>
      <c r="F444" s="62"/>
      <c r="G444" s="26" t="s">
        <v>341</v>
      </c>
    </row>
    <row r="445" spans="2:7" ht="58" outlineLevel="1" x14ac:dyDescent="0.35">
      <c r="B445" s="105"/>
      <c r="C445" s="105"/>
      <c r="D445" s="104" t="s">
        <v>1942</v>
      </c>
      <c r="E445" s="104" t="s">
        <v>1944</v>
      </c>
      <c r="F445" s="62"/>
      <c r="G445" s="26" t="s">
        <v>341</v>
      </c>
    </row>
    <row r="446" spans="2:7" ht="58" outlineLevel="1" x14ac:dyDescent="0.35">
      <c r="B446" s="105"/>
      <c r="C446" s="105"/>
      <c r="D446" s="104" t="s">
        <v>1943</v>
      </c>
      <c r="E446" s="104" t="s">
        <v>2208</v>
      </c>
      <c r="F446" s="62"/>
      <c r="G446" s="26" t="s">
        <v>341</v>
      </c>
    </row>
    <row r="447" spans="2:7" x14ac:dyDescent="0.35">
      <c r="B447" s="77"/>
      <c r="C447" s="77"/>
      <c r="D447" s="75" t="s">
        <v>3820</v>
      </c>
      <c r="E447" s="2"/>
      <c r="G447" s="88"/>
    </row>
    <row r="448" spans="2:7" ht="58" outlineLevel="1" x14ac:dyDescent="0.35">
      <c r="B448" s="105"/>
      <c r="C448" s="105"/>
      <c r="D448" s="104" t="s">
        <v>2187</v>
      </c>
      <c r="E448" s="104" t="s">
        <v>2189</v>
      </c>
      <c r="F448" s="62"/>
      <c r="G448" s="26" t="s">
        <v>341</v>
      </c>
    </row>
    <row r="449" spans="2:7" ht="72.5" outlineLevel="1" x14ac:dyDescent="0.35">
      <c r="B449" s="105"/>
      <c r="C449" s="105"/>
      <c r="D449" s="104" t="s">
        <v>2188</v>
      </c>
      <c r="E449" s="104" t="s">
        <v>3025</v>
      </c>
      <c r="F449" s="62"/>
      <c r="G449" s="26" t="s">
        <v>341</v>
      </c>
    </row>
    <row r="450" spans="2:7" x14ac:dyDescent="0.35">
      <c r="B450" s="77"/>
      <c r="C450" s="77"/>
      <c r="D450" s="75" t="s">
        <v>3821</v>
      </c>
      <c r="E450" s="2"/>
      <c r="G450" s="88"/>
    </row>
    <row r="451" spans="2:7" outlineLevel="1" x14ac:dyDescent="0.35">
      <c r="B451" s="105"/>
      <c r="C451" s="105"/>
      <c r="D451" s="4" t="s">
        <v>3822</v>
      </c>
      <c r="E451" s="104"/>
      <c r="F451" s="62"/>
      <c r="G451" s="103"/>
    </row>
    <row r="452" spans="2:7" ht="58" outlineLevel="1" x14ac:dyDescent="0.35">
      <c r="B452" s="105"/>
      <c r="C452" s="105"/>
      <c r="D452" s="104" t="s">
        <v>4052</v>
      </c>
      <c r="E452" s="106" t="s">
        <v>4028</v>
      </c>
      <c r="F452" s="62"/>
      <c r="G452" s="26" t="s">
        <v>341</v>
      </c>
    </row>
    <row r="453" spans="2:7" s="104" customFormat="1" ht="58" outlineLevel="1" x14ac:dyDescent="0.35">
      <c r="D453" s="104" t="s">
        <v>2394</v>
      </c>
      <c r="E453" s="104" t="s">
        <v>969</v>
      </c>
      <c r="G453" s="26" t="s">
        <v>341</v>
      </c>
    </row>
    <row r="454" spans="2:7" s="104" customFormat="1" ht="72.5" outlineLevel="1" x14ac:dyDescent="0.35">
      <c r="D454" s="104" t="s">
        <v>2303</v>
      </c>
      <c r="E454" s="104" t="s">
        <v>2218</v>
      </c>
      <c r="G454" s="26" t="s">
        <v>341</v>
      </c>
    </row>
    <row r="455" spans="2:7" s="104" customFormat="1" ht="58" outlineLevel="1" x14ac:dyDescent="0.35">
      <c r="D455" s="104" t="s">
        <v>2304</v>
      </c>
      <c r="E455" s="104" t="s">
        <v>3931</v>
      </c>
      <c r="G455" s="26" t="s">
        <v>341</v>
      </c>
    </row>
    <row r="456" spans="2:7" ht="43.5" outlineLevel="1" x14ac:dyDescent="0.35">
      <c r="B456" s="105"/>
      <c r="C456" s="105"/>
      <c r="D456" s="104" t="s">
        <v>3476</v>
      </c>
      <c r="E456" s="104" t="s">
        <v>348</v>
      </c>
      <c r="F456" s="62"/>
      <c r="G456" s="26" t="s">
        <v>341</v>
      </c>
    </row>
    <row r="457" spans="2:7" ht="87" outlineLevel="1" x14ac:dyDescent="0.35">
      <c r="B457" s="105"/>
      <c r="C457" s="105"/>
      <c r="D457" s="104" t="s">
        <v>3484</v>
      </c>
      <c r="E457" s="104" t="s">
        <v>1932</v>
      </c>
      <c r="F457" s="62"/>
      <c r="G457" s="26" t="s">
        <v>341</v>
      </c>
    </row>
    <row r="458" spans="2:7" ht="58" outlineLevel="1" x14ac:dyDescent="0.35">
      <c r="B458" s="105"/>
      <c r="C458" s="105"/>
      <c r="D458" s="104" t="s">
        <v>2305</v>
      </c>
      <c r="E458" s="104" t="s">
        <v>4051</v>
      </c>
      <c r="F458" s="62"/>
      <c r="G458" s="26" t="s">
        <v>341</v>
      </c>
    </row>
    <row r="459" spans="2:7" outlineLevel="1" x14ac:dyDescent="0.35">
      <c r="B459" s="105"/>
      <c r="C459" s="105"/>
      <c r="D459" s="4" t="s">
        <v>3823</v>
      </c>
      <c r="E459" s="104"/>
      <c r="F459" s="62"/>
      <c r="G459" s="103"/>
    </row>
    <row r="460" spans="2:7" ht="101.5" outlineLevel="1" x14ac:dyDescent="0.35">
      <c r="B460" s="105"/>
      <c r="C460" s="105"/>
      <c r="D460" s="104" t="s">
        <v>2475</v>
      </c>
      <c r="E460" s="104" t="s">
        <v>2969</v>
      </c>
      <c r="F460" s="62"/>
      <c r="G460" s="26" t="s">
        <v>341</v>
      </c>
    </row>
    <row r="461" spans="2:7" ht="58" outlineLevel="1" x14ac:dyDescent="0.35">
      <c r="B461" s="105"/>
      <c r="C461" s="105"/>
      <c r="D461" s="104" t="s">
        <v>2530</v>
      </c>
      <c r="E461" s="104" t="s">
        <v>3687</v>
      </c>
      <c r="F461" s="62"/>
      <c r="G461" s="26" t="s">
        <v>341</v>
      </c>
    </row>
    <row r="462" spans="2:7" ht="43.5" outlineLevel="1" x14ac:dyDescent="0.35">
      <c r="B462" s="105"/>
      <c r="C462" s="105"/>
      <c r="D462" s="104" t="s">
        <v>2531</v>
      </c>
      <c r="E462" s="104" t="s">
        <v>3688</v>
      </c>
      <c r="F462" s="62"/>
      <c r="G462" s="26" t="s">
        <v>341</v>
      </c>
    </row>
    <row r="463" spans="2:7" ht="43.5" outlineLevel="1" x14ac:dyDescent="0.35">
      <c r="B463" s="105"/>
      <c r="C463" s="105"/>
      <c r="D463" s="104" t="s">
        <v>2532</v>
      </c>
      <c r="E463" s="104" t="s">
        <v>2476</v>
      </c>
      <c r="F463" s="62"/>
      <c r="G463" s="26" t="s">
        <v>341</v>
      </c>
    </row>
    <row r="464" spans="2:7" ht="29" outlineLevel="1" x14ac:dyDescent="0.35">
      <c r="B464" s="105"/>
      <c r="C464" s="105"/>
      <c r="D464" s="104" t="s">
        <v>2843</v>
      </c>
      <c r="E464" s="104" t="s">
        <v>2477</v>
      </c>
      <c r="F464" s="62"/>
      <c r="G464" s="26" t="s">
        <v>341</v>
      </c>
    </row>
    <row r="465" spans="2:7" ht="58" outlineLevel="1" x14ac:dyDescent="0.35">
      <c r="B465" s="105"/>
      <c r="C465" s="105"/>
      <c r="D465" s="104" t="s">
        <v>2533</v>
      </c>
      <c r="E465" s="104" t="s">
        <v>2600</v>
      </c>
      <c r="F465" s="62"/>
      <c r="G465" s="26" t="s">
        <v>341</v>
      </c>
    </row>
    <row r="466" spans="2:7" x14ac:dyDescent="0.35">
      <c r="B466" s="77"/>
      <c r="C466" s="77"/>
      <c r="D466" s="75" t="s">
        <v>3824</v>
      </c>
      <c r="E466" s="2"/>
      <c r="G466" s="88"/>
    </row>
    <row r="467" spans="2:7" outlineLevel="1" x14ac:dyDescent="0.35">
      <c r="B467" s="105"/>
      <c r="C467" s="105"/>
      <c r="D467" s="4" t="s">
        <v>4363</v>
      </c>
      <c r="E467" s="104"/>
      <c r="F467" s="62"/>
      <c r="G467" s="103"/>
    </row>
    <row r="468" spans="2:7" ht="72.5" outlineLevel="1" x14ac:dyDescent="0.35">
      <c r="B468" s="84"/>
      <c r="C468" s="85"/>
      <c r="D468" s="104" t="s">
        <v>3502</v>
      </c>
      <c r="E468" s="104" t="s">
        <v>2609</v>
      </c>
      <c r="F468" s="62"/>
      <c r="G468" s="26" t="s">
        <v>341</v>
      </c>
    </row>
    <row r="469" spans="2:7" ht="72.5" outlineLevel="1" x14ac:dyDescent="0.35">
      <c r="B469" s="84"/>
      <c r="C469" s="85"/>
      <c r="D469" s="104" t="s">
        <v>2606</v>
      </c>
      <c r="E469" s="104" t="s">
        <v>2610</v>
      </c>
      <c r="F469" s="62"/>
      <c r="G469" s="26" t="s">
        <v>341</v>
      </c>
    </row>
    <row r="470" spans="2:7" ht="58" outlineLevel="1" x14ac:dyDescent="0.35">
      <c r="B470" s="84"/>
      <c r="C470" s="85"/>
      <c r="D470" s="104" t="s">
        <v>2607</v>
      </c>
      <c r="E470" s="104" t="s">
        <v>2611</v>
      </c>
      <c r="F470" s="62"/>
      <c r="G470" s="26" t="s">
        <v>341</v>
      </c>
    </row>
    <row r="471" spans="2:7" ht="58" outlineLevel="1" x14ac:dyDescent="0.35">
      <c r="B471" s="105"/>
      <c r="C471" s="105"/>
      <c r="D471" s="104" t="s">
        <v>2612</v>
      </c>
      <c r="E471" s="104" t="s">
        <v>4014</v>
      </c>
      <c r="F471" s="62"/>
      <c r="G471" s="26" t="s">
        <v>341</v>
      </c>
    </row>
    <row r="472" spans="2:7" ht="58" outlineLevel="1" x14ac:dyDescent="0.35">
      <c r="B472" s="105"/>
      <c r="C472" s="105"/>
      <c r="D472" s="104" t="s">
        <v>2608</v>
      </c>
      <c r="E472" s="104" t="s">
        <v>2613</v>
      </c>
      <c r="F472" s="62"/>
      <c r="G472" s="26" t="s">
        <v>341</v>
      </c>
    </row>
    <row r="473" spans="2:7" ht="58" outlineLevel="1" x14ac:dyDescent="0.35">
      <c r="B473" s="105"/>
      <c r="C473" s="105"/>
      <c r="D473" s="104" t="s">
        <v>3491</v>
      </c>
      <c r="E473" s="106" t="s">
        <v>2614</v>
      </c>
      <c r="F473" s="62"/>
      <c r="G473" s="26" t="s">
        <v>341</v>
      </c>
    </row>
    <row r="474" spans="2:7" ht="43.5" outlineLevel="1" x14ac:dyDescent="0.35">
      <c r="B474" s="105"/>
      <c r="C474" s="105"/>
      <c r="D474" s="104" t="s">
        <v>2735</v>
      </c>
      <c r="E474" s="106" t="s">
        <v>743</v>
      </c>
      <c r="F474" s="62"/>
      <c r="G474" s="26" t="s">
        <v>341</v>
      </c>
    </row>
    <row r="475" spans="2:7" outlineLevel="1" x14ac:dyDescent="0.35">
      <c r="B475" s="105"/>
      <c r="C475" s="105"/>
      <c r="D475" s="4" t="s">
        <v>4364</v>
      </c>
      <c r="E475" s="104"/>
      <c r="F475" s="62"/>
      <c r="G475" s="103"/>
    </row>
    <row r="476" spans="2:7" ht="58" outlineLevel="1" x14ac:dyDescent="0.35">
      <c r="B476" s="105"/>
      <c r="C476" s="105"/>
      <c r="D476" s="104" t="s">
        <v>4365</v>
      </c>
      <c r="E476" s="104" t="s">
        <v>4362</v>
      </c>
      <c r="F476" s="62"/>
      <c r="G476" s="26" t="s">
        <v>341</v>
      </c>
    </row>
    <row r="477" spans="2:7" ht="72.5" outlineLevel="1" x14ac:dyDescent="0.35">
      <c r="B477" s="105"/>
      <c r="C477" s="105"/>
      <c r="D477" s="104" t="s">
        <v>4366</v>
      </c>
      <c r="E477" s="104" t="s">
        <v>4437</v>
      </c>
      <c r="F477" s="62"/>
      <c r="G477" s="26" t="s">
        <v>341</v>
      </c>
    </row>
    <row r="478" spans="2:7" outlineLevel="1" x14ac:dyDescent="0.35">
      <c r="B478" s="105"/>
      <c r="C478" s="105"/>
      <c r="D478" s="104" t="s">
        <v>4367</v>
      </c>
      <c r="E478" s="104" t="s">
        <v>4374</v>
      </c>
      <c r="F478" s="62"/>
      <c r="G478" s="26" t="s">
        <v>341</v>
      </c>
    </row>
    <row r="479" spans="2:7" x14ac:dyDescent="0.35">
      <c r="B479" s="77"/>
      <c r="C479" s="77"/>
      <c r="D479" s="75" t="s">
        <v>5301</v>
      </c>
      <c r="E479" s="2"/>
      <c r="G479" s="88"/>
    </row>
    <row r="480" spans="2:7" outlineLevel="1" x14ac:dyDescent="0.35">
      <c r="B480" s="105"/>
      <c r="C480" s="105"/>
      <c r="D480" s="4" t="s">
        <v>5372</v>
      </c>
      <c r="E480" s="104"/>
      <c r="F480" s="62"/>
      <c r="G480" s="103"/>
    </row>
    <row r="481" spans="2:7" ht="58" outlineLevel="1" x14ac:dyDescent="0.35">
      <c r="B481" s="84"/>
      <c r="C481" s="85"/>
      <c r="D481" s="104" t="s">
        <v>5373</v>
      </c>
      <c r="E481" s="104" t="s">
        <v>5302</v>
      </c>
      <c r="F481" s="62"/>
      <c r="G481" s="26" t="s">
        <v>341</v>
      </c>
    </row>
    <row r="482" spans="2:7" ht="43.5" outlineLevel="1" x14ac:dyDescent="0.35">
      <c r="B482" s="84"/>
      <c r="C482" s="85"/>
      <c r="D482" s="104" t="s">
        <v>5374</v>
      </c>
      <c r="E482" s="104" t="s">
        <v>5303</v>
      </c>
      <c r="F482" s="62"/>
      <c r="G482" s="26" t="s">
        <v>341</v>
      </c>
    </row>
    <row r="483" spans="2:7" ht="29" outlineLevel="1" x14ac:dyDescent="0.35">
      <c r="B483" s="105"/>
      <c r="C483" s="105"/>
      <c r="D483" s="166" t="s">
        <v>3073</v>
      </c>
      <c r="E483" s="104" t="s">
        <v>1177</v>
      </c>
      <c r="F483" s="104"/>
      <c r="G483" s="26" t="s">
        <v>341</v>
      </c>
    </row>
    <row r="484" spans="2:7" x14ac:dyDescent="0.35">
      <c r="B484" s="105"/>
      <c r="C484" s="84" t="s">
        <v>3825</v>
      </c>
      <c r="D484" s="85"/>
      <c r="E484" s="106"/>
      <c r="F484" s="62"/>
      <c r="G484" s="23">
        <f>COUNTIF(G485:G506,"Yes")</f>
        <v>17</v>
      </c>
    </row>
    <row r="485" spans="2:7" x14ac:dyDescent="0.35">
      <c r="B485" s="77"/>
      <c r="C485" s="77"/>
      <c r="D485" s="75" t="s">
        <v>3826</v>
      </c>
      <c r="E485" s="2"/>
      <c r="G485" s="88"/>
    </row>
    <row r="486" spans="2:7" outlineLevel="1" x14ac:dyDescent="0.35">
      <c r="B486" s="105"/>
      <c r="C486" s="105"/>
      <c r="D486" s="4" t="s">
        <v>4441</v>
      </c>
      <c r="E486" s="104"/>
      <c r="F486" s="62"/>
      <c r="G486" s="103"/>
    </row>
    <row r="487" spans="2:7" ht="72.5" outlineLevel="1" x14ac:dyDescent="0.35">
      <c r="B487" s="105"/>
      <c r="C487" s="105"/>
      <c r="D487" s="104" t="s">
        <v>4443</v>
      </c>
      <c r="E487" s="104" t="s">
        <v>4444</v>
      </c>
      <c r="F487" s="62"/>
      <c r="G487" s="26" t="s">
        <v>341</v>
      </c>
    </row>
    <row r="488" spans="2:7" ht="72.5" outlineLevel="1" x14ac:dyDescent="0.35">
      <c r="B488" s="105"/>
      <c r="C488" s="105"/>
      <c r="D488" s="104" t="s">
        <v>5230</v>
      </c>
      <c r="E488" s="104" t="s">
        <v>5231</v>
      </c>
      <c r="F488" s="62"/>
      <c r="G488" s="26" t="s">
        <v>341</v>
      </c>
    </row>
    <row r="489" spans="2:7" ht="101.5" outlineLevel="1" x14ac:dyDescent="0.35">
      <c r="B489" s="105"/>
      <c r="C489" s="105"/>
      <c r="D489" s="104" t="s">
        <v>4506</v>
      </c>
      <c r="E489" s="104" t="s">
        <v>4507</v>
      </c>
      <c r="F489" s="62"/>
      <c r="G489" s="26" t="s">
        <v>341</v>
      </c>
    </row>
    <row r="490" spans="2:7" outlineLevel="1" x14ac:dyDescent="0.35">
      <c r="B490" s="105"/>
      <c r="C490" s="105"/>
      <c r="D490" s="4" t="s">
        <v>4442</v>
      </c>
      <c r="E490" s="171"/>
      <c r="F490" s="62"/>
      <c r="G490" s="103"/>
    </row>
    <row r="491" spans="2:7" ht="58" outlineLevel="1" x14ac:dyDescent="0.35">
      <c r="B491" s="105"/>
      <c r="C491" s="105"/>
      <c r="D491" s="104" t="s">
        <v>2005</v>
      </c>
      <c r="E491" s="104" t="s">
        <v>3932</v>
      </c>
      <c r="F491" s="62"/>
      <c r="G491" s="26" t="s">
        <v>341</v>
      </c>
    </row>
    <row r="492" spans="2:7" ht="58" outlineLevel="1" x14ac:dyDescent="0.35">
      <c r="B492" s="105"/>
      <c r="C492" s="105"/>
      <c r="D492" s="104" t="s">
        <v>2000</v>
      </c>
      <c r="E492" s="104" t="s">
        <v>2001</v>
      </c>
      <c r="F492" s="62"/>
      <c r="G492" s="26" t="s">
        <v>341</v>
      </c>
    </row>
    <row r="493" spans="2:7" ht="43.5" outlineLevel="1" x14ac:dyDescent="0.35">
      <c r="B493" s="105"/>
      <c r="C493" s="105"/>
      <c r="D493" s="104" t="s">
        <v>2002</v>
      </c>
      <c r="E493" s="104" t="s">
        <v>2003</v>
      </c>
      <c r="F493" s="62"/>
      <c r="G493" s="26" t="s">
        <v>341</v>
      </c>
    </row>
    <row r="494" spans="2:7" ht="43.5" outlineLevel="1" x14ac:dyDescent="0.35">
      <c r="B494" s="105"/>
      <c r="C494" s="105"/>
      <c r="D494" s="104" t="s">
        <v>2841</v>
      </c>
      <c r="E494" s="106" t="s">
        <v>2004</v>
      </c>
      <c r="F494" s="62"/>
      <c r="G494" s="26" t="s">
        <v>341</v>
      </c>
    </row>
    <row r="495" spans="2:7" ht="58" outlineLevel="1" x14ac:dyDescent="0.35">
      <c r="B495" s="105"/>
      <c r="C495" s="105"/>
      <c r="D495" s="104" t="s">
        <v>1997</v>
      </c>
      <c r="E495" s="106" t="s">
        <v>3024</v>
      </c>
      <c r="F495" s="62"/>
      <c r="G495" s="26" t="s">
        <v>341</v>
      </c>
    </row>
    <row r="496" spans="2:7" ht="72.5" outlineLevel="1" x14ac:dyDescent="0.35">
      <c r="B496" s="105"/>
      <c r="C496" s="105"/>
      <c r="D496" s="104" t="s">
        <v>1998</v>
      </c>
      <c r="E496" s="104" t="s">
        <v>1999</v>
      </c>
      <c r="F496" s="62"/>
      <c r="G496" s="26" t="s">
        <v>341</v>
      </c>
    </row>
    <row r="497" spans="2:7" x14ac:dyDescent="0.35">
      <c r="B497" s="77"/>
      <c r="C497" s="77"/>
      <c r="D497" s="75" t="s">
        <v>3827</v>
      </c>
      <c r="E497" s="2"/>
      <c r="G497" s="88"/>
    </row>
    <row r="498" spans="2:7" ht="72.5" outlineLevel="1" x14ac:dyDescent="0.35">
      <c r="B498" s="105"/>
      <c r="C498" s="105"/>
      <c r="D498" s="104" t="s">
        <v>3286</v>
      </c>
      <c r="E498" s="104" t="s">
        <v>3288</v>
      </c>
      <c r="F498" s="62"/>
      <c r="G498" s="26" t="s">
        <v>341</v>
      </c>
    </row>
    <row r="499" spans="2:7" ht="58" outlineLevel="1" x14ac:dyDescent="0.35">
      <c r="B499" s="105"/>
      <c r="C499" s="105"/>
      <c r="D499" s="104" t="s">
        <v>3287</v>
      </c>
      <c r="E499" s="104" t="s">
        <v>3289</v>
      </c>
      <c r="F499" s="62"/>
      <c r="G499" s="26" t="s">
        <v>341</v>
      </c>
    </row>
    <row r="500" spans="2:7" x14ac:dyDescent="0.35">
      <c r="B500" s="77"/>
      <c r="C500" s="77"/>
      <c r="D500" s="75" t="s">
        <v>4465</v>
      </c>
      <c r="E500" s="2"/>
      <c r="G500" s="88"/>
    </row>
    <row r="501" spans="2:7" ht="58" outlineLevel="1" x14ac:dyDescent="0.35">
      <c r="B501" s="105"/>
      <c r="C501" s="105"/>
      <c r="D501" s="104" t="s">
        <v>4471</v>
      </c>
      <c r="E501" s="104" t="s">
        <v>4466</v>
      </c>
      <c r="F501" s="62"/>
      <c r="G501" s="26" t="s">
        <v>341</v>
      </c>
    </row>
    <row r="502" spans="2:7" ht="72.5" outlineLevel="1" x14ac:dyDescent="0.35">
      <c r="B502" s="105"/>
      <c r="C502" s="105"/>
      <c r="D502" s="104" t="s">
        <v>4919</v>
      </c>
      <c r="E502" s="104" t="s">
        <v>4920</v>
      </c>
      <c r="F502" s="62"/>
      <c r="G502" s="26" t="s">
        <v>341</v>
      </c>
    </row>
    <row r="503" spans="2:7" ht="43.5" outlineLevel="1" x14ac:dyDescent="0.35">
      <c r="B503" s="105"/>
      <c r="C503" s="105"/>
      <c r="D503" s="104" t="s">
        <v>4472</v>
      </c>
      <c r="E503" s="104" t="s">
        <v>4467</v>
      </c>
      <c r="F503" s="62"/>
      <c r="G503" s="26" t="s">
        <v>341</v>
      </c>
    </row>
    <row r="504" spans="2:7" ht="72.5" outlineLevel="1" x14ac:dyDescent="0.35">
      <c r="B504" s="105"/>
      <c r="C504" s="105"/>
      <c r="D504" s="104" t="s">
        <v>4473</v>
      </c>
      <c r="E504" s="104" t="s">
        <v>4468</v>
      </c>
      <c r="F504" s="62"/>
      <c r="G504" s="26" t="s">
        <v>341</v>
      </c>
    </row>
    <row r="505" spans="2:7" ht="58" outlineLevel="1" x14ac:dyDescent="0.35">
      <c r="B505" s="105"/>
      <c r="C505" s="105"/>
      <c r="D505" s="104" t="s">
        <v>4474</v>
      </c>
      <c r="E505" s="104" t="s">
        <v>4469</v>
      </c>
      <c r="F505" s="62"/>
      <c r="G505" s="26" t="s">
        <v>341</v>
      </c>
    </row>
    <row r="506" spans="2:7" ht="101.5" outlineLevel="1" x14ac:dyDescent="0.35">
      <c r="B506" s="105"/>
      <c r="C506" s="105"/>
      <c r="D506" s="104" t="s">
        <v>4475</v>
      </c>
      <c r="E506" s="104" t="s">
        <v>4470</v>
      </c>
      <c r="F506" s="62"/>
      <c r="G506" s="26" t="s">
        <v>341</v>
      </c>
    </row>
    <row r="507" spans="2:7" x14ac:dyDescent="0.35">
      <c r="B507" s="105"/>
      <c r="C507" s="84" t="s">
        <v>3828</v>
      </c>
      <c r="D507" s="85"/>
      <c r="E507" s="106"/>
      <c r="F507" s="62"/>
      <c r="G507" s="23">
        <f>COUNTIF(G508:G515,"Yes")</f>
        <v>6</v>
      </c>
    </row>
    <row r="508" spans="2:7" x14ac:dyDescent="0.35">
      <c r="B508" s="77"/>
      <c r="C508" s="77"/>
      <c r="D508" s="75" t="s">
        <v>3829</v>
      </c>
      <c r="E508" s="2"/>
      <c r="G508" s="88"/>
    </row>
    <row r="509" spans="2:7" ht="72.5" outlineLevel="1" x14ac:dyDescent="0.35">
      <c r="B509" s="105"/>
      <c r="C509" s="105"/>
      <c r="D509" s="104" t="s">
        <v>3183</v>
      </c>
      <c r="E509" s="104" t="s">
        <v>3194</v>
      </c>
      <c r="F509" s="62"/>
      <c r="G509" s="26" t="s">
        <v>341</v>
      </c>
    </row>
    <row r="510" spans="2:7" ht="72.5" outlineLevel="1" x14ac:dyDescent="0.35">
      <c r="B510" s="105"/>
      <c r="C510" s="105"/>
      <c r="D510" s="104" t="s">
        <v>3255</v>
      </c>
      <c r="E510" s="104" t="s">
        <v>3256</v>
      </c>
      <c r="F510" s="62"/>
      <c r="G510" s="26" t="s">
        <v>341</v>
      </c>
    </row>
    <row r="511" spans="2:7" ht="87" outlineLevel="1" x14ac:dyDescent="0.35">
      <c r="B511" s="105"/>
      <c r="C511" s="105"/>
      <c r="D511" s="104" t="s">
        <v>3503</v>
      </c>
      <c r="E511" s="106" t="s">
        <v>3206</v>
      </c>
      <c r="F511" s="62"/>
      <c r="G511" s="26" t="s">
        <v>341</v>
      </c>
    </row>
    <row r="512" spans="2:7" x14ac:dyDescent="0.35">
      <c r="B512" s="77"/>
      <c r="C512" s="77"/>
      <c r="D512" s="75" t="s">
        <v>3830</v>
      </c>
      <c r="E512" s="2"/>
      <c r="G512" s="88"/>
    </row>
    <row r="513" spans="2:7" ht="87" outlineLevel="1" x14ac:dyDescent="0.35">
      <c r="B513" s="105"/>
      <c r="C513" s="105"/>
      <c r="D513" s="104" t="s">
        <v>3185</v>
      </c>
      <c r="E513" s="104" t="s">
        <v>3192</v>
      </c>
      <c r="F513" s="62"/>
      <c r="G513" s="26" t="s">
        <v>341</v>
      </c>
    </row>
    <row r="514" spans="2:7" ht="58" outlineLevel="1" x14ac:dyDescent="0.35">
      <c r="B514" s="105"/>
      <c r="C514" s="105"/>
      <c r="D514" s="104" t="s">
        <v>3184</v>
      </c>
      <c r="E514" s="104" t="s">
        <v>3193</v>
      </c>
      <c r="F514" s="62"/>
      <c r="G514" s="26" t="s">
        <v>341</v>
      </c>
    </row>
    <row r="515" spans="2:7" ht="87" outlineLevel="1" x14ac:dyDescent="0.35">
      <c r="B515" s="105"/>
      <c r="C515" s="105"/>
      <c r="D515" s="104" t="s">
        <v>3504</v>
      </c>
      <c r="E515" s="104" t="s">
        <v>3127</v>
      </c>
      <c r="F515" s="62"/>
      <c r="G515" s="26" t="s">
        <v>341</v>
      </c>
    </row>
    <row r="516" spans="2:7" x14ac:dyDescent="0.35">
      <c r="B516" s="105"/>
      <c r="C516" s="84" t="s">
        <v>3831</v>
      </c>
      <c r="D516" s="85"/>
      <c r="E516" s="106"/>
      <c r="F516" s="62"/>
      <c r="G516" s="23">
        <f>COUNTIF(G517:G521,"Yes")</f>
        <v>4</v>
      </c>
    </row>
    <row r="517" spans="2:7" x14ac:dyDescent="0.35">
      <c r="B517" s="77"/>
      <c r="C517" s="77"/>
      <c r="D517" s="75" t="s">
        <v>3832</v>
      </c>
      <c r="E517" s="2"/>
      <c r="G517" s="88"/>
    </row>
    <row r="518" spans="2:7" ht="101.5" outlineLevel="1" x14ac:dyDescent="0.35">
      <c r="B518" s="105"/>
      <c r="C518" s="105"/>
      <c r="D518" s="104" t="s">
        <v>1749</v>
      </c>
      <c r="E518" s="104" t="s">
        <v>1750</v>
      </c>
      <c r="G518" s="26" t="s">
        <v>341</v>
      </c>
    </row>
    <row r="519" spans="2:7" ht="58" outlineLevel="1" x14ac:dyDescent="0.35">
      <c r="B519" s="105"/>
      <c r="C519" s="105"/>
      <c r="D519" s="104" t="s">
        <v>1751</v>
      </c>
      <c r="E519" s="104" t="s">
        <v>1759</v>
      </c>
      <c r="G519" s="26" t="s">
        <v>341</v>
      </c>
    </row>
    <row r="520" spans="2:7" ht="72.5" outlineLevel="1" x14ac:dyDescent="0.35">
      <c r="B520" s="105"/>
      <c r="C520" s="105"/>
      <c r="D520" s="104" t="s">
        <v>3499</v>
      </c>
      <c r="E520" s="104" t="s">
        <v>1752</v>
      </c>
      <c r="G520" s="26" t="s">
        <v>341</v>
      </c>
    </row>
    <row r="521" spans="2:7" ht="58" outlineLevel="1" x14ac:dyDescent="0.35">
      <c r="B521" s="105"/>
      <c r="C521" s="105"/>
      <c r="D521" s="104" t="s">
        <v>1753</v>
      </c>
      <c r="E521" s="104" t="s">
        <v>1758</v>
      </c>
      <c r="G521" s="26" t="s">
        <v>341</v>
      </c>
    </row>
    <row r="522" spans="2:7" x14ac:dyDescent="0.35">
      <c r="B522" s="105"/>
      <c r="C522" s="84" t="s">
        <v>3833</v>
      </c>
      <c r="D522" s="85"/>
      <c r="E522" s="106"/>
      <c r="F522" s="62"/>
      <c r="G522" s="23">
        <f>COUNTIF(G523:G530,"Yes")</f>
        <v>6</v>
      </c>
    </row>
    <row r="523" spans="2:7" x14ac:dyDescent="0.35">
      <c r="B523" s="77"/>
      <c r="C523" s="77"/>
      <c r="D523" s="75" t="s">
        <v>3834</v>
      </c>
      <c r="E523" s="2"/>
      <c r="G523" s="88"/>
    </row>
    <row r="524" spans="2:7" ht="58" outlineLevel="1" x14ac:dyDescent="0.35">
      <c r="B524" s="105"/>
      <c r="C524" s="105"/>
      <c r="D524" s="104" t="s">
        <v>3835</v>
      </c>
      <c r="E524" s="104" t="s">
        <v>3841</v>
      </c>
      <c r="G524" s="26" t="s">
        <v>341</v>
      </c>
    </row>
    <row r="525" spans="2:7" ht="72.5" outlineLevel="1" x14ac:dyDescent="0.35">
      <c r="B525" s="105"/>
      <c r="C525" s="105"/>
      <c r="D525" s="104" t="s">
        <v>3836</v>
      </c>
      <c r="E525" s="104" t="s">
        <v>2460</v>
      </c>
      <c r="G525" s="26" t="s">
        <v>341</v>
      </c>
    </row>
    <row r="526" spans="2:7" ht="43.5" outlineLevel="1" x14ac:dyDescent="0.35">
      <c r="B526" s="105"/>
      <c r="C526" s="105"/>
      <c r="D526" s="104" t="s">
        <v>3837</v>
      </c>
      <c r="E526" s="104" t="s">
        <v>3839</v>
      </c>
      <c r="G526" s="26" t="s">
        <v>341</v>
      </c>
    </row>
    <row r="527" spans="2:7" ht="43.5" outlineLevel="1" x14ac:dyDescent="0.35">
      <c r="B527" s="105"/>
      <c r="C527" s="105"/>
      <c r="D527" s="104" t="s">
        <v>3838</v>
      </c>
      <c r="E527" s="104" t="s">
        <v>3840</v>
      </c>
      <c r="G527" s="26" t="s">
        <v>341</v>
      </c>
    </row>
    <row r="528" spans="2:7" x14ac:dyDescent="0.35">
      <c r="B528" s="77"/>
      <c r="C528" s="77"/>
      <c r="D528" s="75" t="s">
        <v>3842</v>
      </c>
      <c r="E528" s="2"/>
      <c r="G528" s="88"/>
    </row>
    <row r="529" spans="2:7" ht="101.5" outlineLevel="1" x14ac:dyDescent="0.35">
      <c r="B529" s="105"/>
      <c r="C529" s="105"/>
      <c r="D529" s="104" t="s">
        <v>2102</v>
      </c>
      <c r="E529" s="104" t="s">
        <v>3026</v>
      </c>
      <c r="G529" s="26" t="s">
        <v>341</v>
      </c>
    </row>
    <row r="530" spans="2:7" ht="58" outlineLevel="1" x14ac:dyDescent="0.35">
      <c r="B530" s="105"/>
      <c r="C530" s="105"/>
      <c r="D530" s="104" t="s">
        <v>2104</v>
      </c>
      <c r="E530" s="104" t="s">
        <v>2103</v>
      </c>
      <c r="G530" s="26" t="s">
        <v>341</v>
      </c>
    </row>
    <row r="531" spans="2:7" x14ac:dyDescent="0.35">
      <c r="B531" s="105"/>
      <c r="C531" s="164" t="s">
        <v>4182</v>
      </c>
      <c r="D531" s="105"/>
      <c r="E531" s="106"/>
      <c r="F531" s="62"/>
      <c r="G531" s="23">
        <f>COUNTIF(G532:G558,"Yes")</f>
        <v>19</v>
      </c>
    </row>
    <row r="532" spans="2:7" x14ac:dyDescent="0.35">
      <c r="B532" s="77"/>
      <c r="C532" s="77"/>
      <c r="D532" s="75" t="s">
        <v>4183</v>
      </c>
      <c r="E532" s="2"/>
      <c r="G532" s="88"/>
    </row>
    <row r="533" spans="2:7" ht="72.5" outlineLevel="1" x14ac:dyDescent="0.35">
      <c r="B533" s="105"/>
      <c r="C533" s="105"/>
      <c r="D533" s="104" t="s">
        <v>1938</v>
      </c>
      <c r="E533" s="104" t="s">
        <v>1939</v>
      </c>
      <c r="F533" s="62"/>
      <c r="G533" s="26" t="s">
        <v>341</v>
      </c>
    </row>
    <row r="534" spans="2:7" ht="43.5" outlineLevel="1" x14ac:dyDescent="0.35">
      <c r="B534" s="105"/>
      <c r="C534" s="105"/>
      <c r="D534" s="104" t="s">
        <v>1940</v>
      </c>
      <c r="E534" s="104" t="s">
        <v>3938</v>
      </c>
      <c r="F534" s="62"/>
      <c r="G534" s="26" t="s">
        <v>341</v>
      </c>
    </row>
    <row r="535" spans="2:7" ht="43.5" outlineLevel="1" x14ac:dyDescent="0.35">
      <c r="B535" s="105"/>
      <c r="C535" s="105"/>
      <c r="D535" s="104" t="s">
        <v>2008</v>
      </c>
      <c r="E535" s="104" t="s">
        <v>4452</v>
      </c>
      <c r="F535" s="62"/>
      <c r="G535" s="26" t="s">
        <v>341</v>
      </c>
    </row>
    <row r="536" spans="2:7" x14ac:dyDescent="0.35">
      <c r="B536" s="77"/>
      <c r="C536" s="77"/>
      <c r="D536" s="75" t="s">
        <v>4184</v>
      </c>
      <c r="E536" s="2"/>
      <c r="G536" s="88"/>
    </row>
    <row r="537" spans="2:7" ht="43.5" outlineLevel="1" x14ac:dyDescent="0.35">
      <c r="B537" s="105"/>
      <c r="C537" s="105"/>
      <c r="D537" s="104" t="s">
        <v>2105</v>
      </c>
      <c r="E537" s="104" t="s">
        <v>2106</v>
      </c>
      <c r="F537" s="62"/>
      <c r="G537" s="26" t="s">
        <v>341</v>
      </c>
    </row>
    <row r="538" spans="2:7" ht="58" outlineLevel="1" x14ac:dyDescent="0.35">
      <c r="B538" s="105"/>
      <c r="C538" s="105"/>
      <c r="D538" s="104" t="s">
        <v>2108</v>
      </c>
      <c r="E538" s="104" t="s">
        <v>2107</v>
      </c>
      <c r="F538" s="62"/>
      <c r="G538" s="26" t="s">
        <v>341</v>
      </c>
    </row>
    <row r="539" spans="2:7" x14ac:dyDescent="0.35">
      <c r="B539" s="77"/>
      <c r="C539" s="77"/>
      <c r="D539" s="75" t="s">
        <v>4185</v>
      </c>
      <c r="E539" s="2"/>
      <c r="G539" s="88"/>
    </row>
    <row r="540" spans="2:7" outlineLevel="1" x14ac:dyDescent="0.35">
      <c r="B540" s="105"/>
      <c r="C540" s="105"/>
      <c r="D540" s="4" t="s">
        <v>4186</v>
      </c>
      <c r="E540" s="104"/>
      <c r="F540" s="62"/>
      <c r="G540" s="103"/>
    </row>
    <row r="541" spans="2:7" ht="72.5" outlineLevel="1" x14ac:dyDescent="0.35">
      <c r="B541" s="105"/>
      <c r="C541" s="105"/>
      <c r="D541" s="104" t="s">
        <v>2109</v>
      </c>
      <c r="E541" s="104" t="s">
        <v>3028</v>
      </c>
      <c r="F541" s="62"/>
      <c r="G541" s="26" t="s">
        <v>341</v>
      </c>
    </row>
    <row r="542" spans="2:7" ht="58" outlineLevel="1" x14ac:dyDescent="0.35">
      <c r="B542" s="105"/>
      <c r="C542" s="105"/>
      <c r="D542" s="104" t="s">
        <v>2111</v>
      </c>
      <c r="E542" s="104" t="s">
        <v>2110</v>
      </c>
      <c r="F542" s="62"/>
      <c r="G542" s="26" t="s">
        <v>341</v>
      </c>
    </row>
    <row r="543" spans="2:7" ht="58" outlineLevel="1" x14ac:dyDescent="0.35">
      <c r="B543" s="105"/>
      <c r="C543" s="105"/>
      <c r="D543" s="104" t="s">
        <v>2157</v>
      </c>
      <c r="E543" s="104" t="s">
        <v>2163</v>
      </c>
      <c r="F543" s="62"/>
      <c r="G543" s="26" t="s">
        <v>341</v>
      </c>
    </row>
    <row r="544" spans="2:7" ht="58" outlineLevel="1" x14ac:dyDescent="0.35">
      <c r="B544" s="105"/>
      <c r="C544" s="105"/>
      <c r="D544" s="104" t="s">
        <v>2161</v>
      </c>
      <c r="E544" s="106" t="s">
        <v>2164</v>
      </c>
      <c r="F544" s="62"/>
      <c r="G544" s="26" t="s">
        <v>341</v>
      </c>
    </row>
    <row r="545" spans="2:7" outlineLevel="1" x14ac:dyDescent="0.35">
      <c r="B545" s="105"/>
      <c r="C545" s="105"/>
      <c r="D545" s="4" t="s">
        <v>4187</v>
      </c>
      <c r="E545" s="104"/>
      <c r="F545" s="62"/>
      <c r="G545" s="103"/>
    </row>
    <row r="546" spans="2:7" ht="58" outlineLevel="1" x14ac:dyDescent="0.35">
      <c r="B546" s="105"/>
      <c r="C546" s="105"/>
      <c r="D546" s="104" t="s">
        <v>2158</v>
      </c>
      <c r="E546" s="104" t="s">
        <v>2165</v>
      </c>
      <c r="F546" s="62"/>
      <c r="G546" s="26" t="s">
        <v>341</v>
      </c>
    </row>
    <row r="547" spans="2:7" ht="72.5" outlineLevel="1" x14ac:dyDescent="0.35">
      <c r="B547" s="105"/>
      <c r="C547" s="105"/>
      <c r="D547" s="104" t="s">
        <v>2159</v>
      </c>
      <c r="E547" s="104" t="s">
        <v>2166</v>
      </c>
      <c r="F547" s="62"/>
      <c r="G547" s="26" t="s">
        <v>341</v>
      </c>
    </row>
    <row r="548" spans="2:7" ht="72.5" outlineLevel="1" x14ac:dyDescent="0.35">
      <c r="B548" s="105"/>
      <c r="C548" s="105"/>
      <c r="D548" s="104" t="s">
        <v>2160</v>
      </c>
      <c r="E548" s="104" t="s">
        <v>3935</v>
      </c>
      <c r="F548" s="62"/>
      <c r="G548" s="26" t="s">
        <v>341</v>
      </c>
    </row>
    <row r="549" spans="2:7" ht="58" outlineLevel="1" x14ac:dyDescent="0.35">
      <c r="B549" s="105"/>
      <c r="C549" s="105"/>
      <c r="D549" s="104" t="s">
        <v>2162</v>
      </c>
      <c r="E549" s="104" t="s">
        <v>2164</v>
      </c>
      <c r="F549" s="62"/>
      <c r="G549" s="26" t="s">
        <v>341</v>
      </c>
    </row>
    <row r="550" spans="2:7" x14ac:dyDescent="0.35">
      <c r="B550" s="77"/>
      <c r="C550" s="77"/>
      <c r="D550" s="75" t="s">
        <v>4188</v>
      </c>
      <c r="E550" s="2"/>
      <c r="G550" s="88"/>
    </row>
    <row r="551" spans="2:7" outlineLevel="1" x14ac:dyDescent="0.35">
      <c r="B551" s="105"/>
      <c r="C551" s="105"/>
      <c r="D551" s="4" t="s">
        <v>4189</v>
      </c>
      <c r="E551" s="104"/>
      <c r="F551" s="62"/>
      <c r="G551" s="103"/>
    </row>
    <row r="552" spans="2:7" ht="101.5" outlineLevel="1" x14ac:dyDescent="0.35">
      <c r="B552" s="105"/>
      <c r="C552" s="105"/>
      <c r="D552" s="104" t="s">
        <v>2167</v>
      </c>
      <c r="E552" s="104" t="s">
        <v>3017</v>
      </c>
      <c r="F552" s="62"/>
      <c r="G552" s="26" t="s">
        <v>341</v>
      </c>
    </row>
    <row r="553" spans="2:7" ht="58" outlineLevel="1" x14ac:dyDescent="0.35">
      <c r="B553" s="105"/>
      <c r="C553" s="105"/>
      <c r="D553" s="104" t="s">
        <v>2168</v>
      </c>
      <c r="E553" s="104" t="s">
        <v>3018</v>
      </c>
      <c r="F553" s="62"/>
      <c r="G553" s="26" t="s">
        <v>341</v>
      </c>
    </row>
    <row r="554" spans="2:7" ht="58" outlineLevel="1" x14ac:dyDescent="0.35">
      <c r="B554" s="105"/>
      <c r="C554" s="105"/>
      <c r="D554" s="104" t="s">
        <v>2171</v>
      </c>
      <c r="E554" s="104" t="s">
        <v>3019</v>
      </c>
      <c r="F554" s="62"/>
      <c r="G554" s="26" t="s">
        <v>341</v>
      </c>
    </row>
    <row r="555" spans="2:7" outlineLevel="1" x14ac:dyDescent="0.35">
      <c r="B555" s="105"/>
      <c r="C555" s="105"/>
      <c r="D555" s="4" t="s">
        <v>4190</v>
      </c>
      <c r="E555" s="104"/>
      <c r="F555" s="62"/>
      <c r="G555" s="103"/>
    </row>
    <row r="556" spans="2:7" ht="72.5" outlineLevel="1" x14ac:dyDescent="0.35">
      <c r="B556" s="105"/>
      <c r="C556" s="105"/>
      <c r="D556" s="104" t="s">
        <v>2169</v>
      </c>
      <c r="E556" s="104" t="s">
        <v>3020</v>
      </c>
      <c r="F556" s="62"/>
      <c r="G556" s="26" t="s">
        <v>341</v>
      </c>
    </row>
    <row r="557" spans="2:7" ht="72.5" outlineLevel="1" x14ac:dyDescent="0.35">
      <c r="B557" s="105"/>
      <c r="C557" s="105"/>
      <c r="D557" s="104" t="s">
        <v>2170</v>
      </c>
      <c r="E557" s="104" t="s">
        <v>3021</v>
      </c>
      <c r="F557" s="62"/>
      <c r="G557" s="26" t="s">
        <v>341</v>
      </c>
    </row>
    <row r="558" spans="2:7" ht="87" outlineLevel="1" x14ac:dyDescent="0.35">
      <c r="B558" s="105"/>
      <c r="C558" s="105"/>
      <c r="D558" s="104" t="s">
        <v>3023</v>
      </c>
      <c r="E558" s="104" t="s">
        <v>3022</v>
      </c>
      <c r="F558" s="62"/>
      <c r="G558" s="26" t="s">
        <v>341</v>
      </c>
    </row>
    <row r="559" spans="2:7" x14ac:dyDescent="0.35">
      <c r="B559" s="105"/>
      <c r="C559" s="84" t="s">
        <v>4191</v>
      </c>
      <c r="D559" s="85"/>
      <c r="E559" s="106"/>
      <c r="F559" s="62"/>
      <c r="G559" s="23">
        <f>COUNTIF(G560:G573,"Yes")</f>
        <v>12</v>
      </c>
    </row>
    <row r="560" spans="2:7" x14ac:dyDescent="0.35">
      <c r="B560" s="77"/>
      <c r="C560" s="77"/>
      <c r="D560" s="75" t="s">
        <v>4192</v>
      </c>
      <c r="E560" s="2"/>
      <c r="G560" s="88"/>
    </row>
    <row r="561" spans="2:7" s="96" customFormat="1" ht="115" customHeight="1" outlineLevel="1" x14ac:dyDescent="0.35">
      <c r="B561" s="105"/>
      <c r="C561" s="105"/>
      <c r="D561" s="104" t="s">
        <v>1527</v>
      </c>
      <c r="E561" s="104" t="s">
        <v>3016</v>
      </c>
      <c r="F561" s="111"/>
      <c r="G561" s="26" t="s">
        <v>341</v>
      </c>
    </row>
    <row r="562" spans="2:7" s="96" customFormat="1" ht="72.5" outlineLevel="1" x14ac:dyDescent="0.35">
      <c r="B562" s="105"/>
      <c r="C562" s="105"/>
      <c r="D562" s="104" t="s">
        <v>1526</v>
      </c>
      <c r="E562" s="104" t="s">
        <v>3936</v>
      </c>
      <c r="F562" s="62"/>
      <c r="G562" s="26" t="s">
        <v>341</v>
      </c>
    </row>
    <row r="563" spans="2:7" ht="43.5" outlineLevel="1" x14ac:dyDescent="0.35">
      <c r="B563" s="105"/>
      <c r="C563" s="105"/>
      <c r="D563" s="104" t="s">
        <v>1575</v>
      </c>
      <c r="E563" s="104" t="s">
        <v>1591</v>
      </c>
      <c r="F563" s="111"/>
      <c r="G563" s="26" t="s">
        <v>341</v>
      </c>
    </row>
    <row r="564" spans="2:7" ht="43.5" outlineLevel="1" x14ac:dyDescent="0.35">
      <c r="B564" s="105"/>
      <c r="C564" s="105"/>
      <c r="D564" s="104" t="s">
        <v>1761</v>
      </c>
      <c r="E564" s="106" t="s">
        <v>1774</v>
      </c>
      <c r="F564" s="111"/>
      <c r="G564" s="26" t="s">
        <v>341</v>
      </c>
    </row>
    <row r="565" spans="2:7" s="96" customFormat="1" ht="58" outlineLevel="1" x14ac:dyDescent="0.35">
      <c r="B565" s="105"/>
      <c r="C565" s="105"/>
      <c r="D565" s="104" t="s">
        <v>1576</v>
      </c>
      <c r="E565" s="106" t="s">
        <v>4032</v>
      </c>
      <c r="F565" s="111"/>
      <c r="G565" s="26" t="s">
        <v>341</v>
      </c>
    </row>
    <row r="566" spans="2:7" s="96" customFormat="1" ht="29" outlineLevel="1" x14ac:dyDescent="0.35">
      <c r="B566" s="105"/>
      <c r="C566" s="105"/>
      <c r="D566" s="104" t="s">
        <v>1743</v>
      </c>
      <c r="E566" s="104" t="s">
        <v>1175</v>
      </c>
      <c r="F566" s="111"/>
      <c r="G566" s="26" t="s">
        <v>341</v>
      </c>
    </row>
    <row r="567" spans="2:7" x14ac:dyDescent="0.35">
      <c r="B567" s="77"/>
      <c r="C567" s="77"/>
      <c r="D567" s="75" t="s">
        <v>4193</v>
      </c>
      <c r="E567" s="2"/>
      <c r="G567" s="88"/>
    </row>
    <row r="568" spans="2:7" s="96" customFormat="1" ht="101.5" outlineLevel="1" x14ac:dyDescent="0.35">
      <c r="B568" s="105"/>
      <c r="C568" s="105"/>
      <c r="D568" s="104" t="s">
        <v>2737</v>
      </c>
      <c r="E568" s="104" t="s">
        <v>4027</v>
      </c>
      <c r="F568" s="111"/>
      <c r="G568" s="26" t="s">
        <v>341</v>
      </c>
    </row>
    <row r="569" spans="2:7" s="96" customFormat="1" ht="72.5" outlineLevel="1" x14ac:dyDescent="0.35">
      <c r="B569" s="105"/>
      <c r="C569" s="105"/>
      <c r="D569" s="104" t="s">
        <v>1574</v>
      </c>
      <c r="E569" s="104" t="s">
        <v>1977</v>
      </c>
      <c r="F569" s="111"/>
      <c r="G569" s="26" t="s">
        <v>341</v>
      </c>
    </row>
    <row r="570" spans="2:7" ht="58" outlineLevel="1" x14ac:dyDescent="0.35">
      <c r="B570" s="105"/>
      <c r="C570" s="105"/>
      <c r="D570" s="104" t="s">
        <v>1760</v>
      </c>
      <c r="E570" s="104" t="s">
        <v>1772</v>
      </c>
      <c r="F570" s="111"/>
      <c r="G570" s="26" t="s">
        <v>341</v>
      </c>
    </row>
    <row r="571" spans="2:7" ht="72.5" outlineLevel="1" x14ac:dyDescent="0.35">
      <c r="B571" s="105"/>
      <c r="C571" s="105"/>
      <c r="D571" s="104" t="s">
        <v>2759</v>
      </c>
      <c r="E571" s="104" t="s">
        <v>2764</v>
      </c>
      <c r="F571" s="111"/>
      <c r="G571" s="26" t="s">
        <v>341</v>
      </c>
    </row>
    <row r="572" spans="2:7" ht="58" outlineLevel="1" x14ac:dyDescent="0.35">
      <c r="B572" s="105"/>
      <c r="C572" s="105"/>
      <c r="D572" s="104" t="s">
        <v>3109</v>
      </c>
      <c r="E572" s="104" t="s">
        <v>3110</v>
      </c>
      <c r="F572" s="111"/>
      <c r="G572" s="26" t="s">
        <v>341</v>
      </c>
    </row>
    <row r="573" spans="2:7" ht="87" outlineLevel="1" x14ac:dyDescent="0.35">
      <c r="B573" s="105"/>
      <c r="C573" s="105"/>
      <c r="D573" s="104" t="s">
        <v>3155</v>
      </c>
      <c r="E573" s="104" t="s">
        <v>3156</v>
      </c>
      <c r="F573" s="111"/>
      <c r="G573" s="26" t="s">
        <v>341</v>
      </c>
    </row>
    <row r="574" spans="2:7" x14ac:dyDescent="0.35">
      <c r="B574" s="105"/>
      <c r="C574" s="84" t="s">
        <v>4195</v>
      </c>
      <c r="D574" s="85"/>
      <c r="E574" s="106"/>
      <c r="F574" s="62"/>
      <c r="G574" s="23">
        <f>COUNTIF(G575:G595,"Yes")</f>
        <v>19</v>
      </c>
    </row>
    <row r="575" spans="2:7" x14ac:dyDescent="0.35">
      <c r="B575" s="77"/>
      <c r="C575" s="77"/>
      <c r="D575" s="75" t="s">
        <v>4194</v>
      </c>
      <c r="E575" s="2"/>
      <c r="G575" s="88"/>
    </row>
    <row r="576" spans="2:7" ht="87" outlineLevel="1" x14ac:dyDescent="0.35">
      <c r="B576" s="105"/>
      <c r="C576" s="105"/>
      <c r="D576" s="21" t="s">
        <v>4222</v>
      </c>
      <c r="E576" s="21" t="s">
        <v>4224</v>
      </c>
      <c r="F576" s="62"/>
      <c r="G576" s="26" t="s">
        <v>341</v>
      </c>
    </row>
    <row r="577" spans="2:7" ht="101.5" outlineLevel="1" x14ac:dyDescent="0.35">
      <c r="B577" s="105"/>
      <c r="C577" s="105"/>
      <c r="D577" s="21" t="s">
        <v>3775</v>
      </c>
      <c r="E577" s="21" t="s">
        <v>4636</v>
      </c>
      <c r="F577" s="62"/>
      <c r="G577" s="26" t="s">
        <v>341</v>
      </c>
    </row>
    <row r="578" spans="2:7" ht="29" outlineLevel="1" x14ac:dyDescent="0.35">
      <c r="B578" s="105"/>
      <c r="C578" s="105"/>
      <c r="D578" s="21" t="s">
        <v>4508</v>
      </c>
      <c r="E578" s="175" t="s">
        <v>4509</v>
      </c>
      <c r="F578" s="62"/>
      <c r="G578" s="26" t="s">
        <v>341</v>
      </c>
    </row>
    <row r="579" spans="2:7" ht="87" outlineLevel="1" x14ac:dyDescent="0.35">
      <c r="B579" s="105"/>
      <c r="C579" s="105"/>
      <c r="D579" s="21" t="s">
        <v>4368</v>
      </c>
      <c r="E579" s="21" t="s">
        <v>4464</v>
      </c>
      <c r="F579" s="62"/>
      <c r="G579" s="26" t="s">
        <v>341</v>
      </c>
    </row>
    <row r="580" spans="2:7" ht="130.5" outlineLevel="1" x14ac:dyDescent="0.35">
      <c r="B580" s="105"/>
      <c r="C580" s="105"/>
      <c r="D580" s="21" t="s">
        <v>4463</v>
      </c>
      <c r="E580" s="21" t="s">
        <v>4589</v>
      </c>
      <c r="F580" s="62"/>
      <c r="G580" s="26" t="s">
        <v>341</v>
      </c>
    </row>
    <row r="581" spans="2:7" ht="159.5" outlineLevel="1" x14ac:dyDescent="0.35">
      <c r="B581" s="105"/>
      <c r="C581" s="105"/>
      <c r="D581" s="21" t="s">
        <v>3853</v>
      </c>
      <c r="E581" s="21" t="s">
        <v>4409</v>
      </c>
      <c r="F581" s="62"/>
      <c r="G581" s="26" t="s">
        <v>341</v>
      </c>
    </row>
    <row r="582" spans="2:7" ht="130.5" outlineLevel="1" x14ac:dyDescent="0.35">
      <c r="B582" s="105"/>
      <c r="C582" s="105"/>
      <c r="D582" s="21" t="s">
        <v>3854</v>
      </c>
      <c r="E582" s="21" t="s">
        <v>4408</v>
      </c>
      <c r="F582" s="62"/>
      <c r="G582" s="26" t="s">
        <v>341</v>
      </c>
    </row>
    <row r="583" spans="2:7" x14ac:dyDescent="0.35">
      <c r="B583" s="77"/>
      <c r="C583" s="77"/>
      <c r="D583" s="75" t="s">
        <v>4659</v>
      </c>
      <c r="E583" s="2"/>
      <c r="G583" s="88"/>
    </row>
    <row r="584" spans="2:7" ht="58" outlineLevel="1" x14ac:dyDescent="0.35">
      <c r="B584" s="105"/>
      <c r="C584" s="105"/>
      <c r="D584" s="21" t="s">
        <v>4836</v>
      </c>
      <c r="E584" s="21" t="s">
        <v>4841</v>
      </c>
      <c r="F584" s="62"/>
      <c r="G584" s="26" t="s">
        <v>341</v>
      </c>
    </row>
    <row r="585" spans="2:7" ht="58" outlineLevel="1" x14ac:dyDescent="0.35">
      <c r="B585" s="105"/>
      <c r="C585" s="105"/>
      <c r="D585" s="21" t="s">
        <v>4660</v>
      </c>
      <c r="E585" s="21" t="s">
        <v>4842</v>
      </c>
      <c r="F585" s="62"/>
      <c r="G585" s="26" t="s">
        <v>341</v>
      </c>
    </row>
    <row r="586" spans="2:7" ht="101.5" outlineLevel="1" x14ac:dyDescent="0.35">
      <c r="B586" s="105"/>
      <c r="C586" s="105"/>
      <c r="D586" s="21" t="s">
        <v>4952</v>
      </c>
      <c r="E586" s="21" t="s">
        <v>4955</v>
      </c>
      <c r="F586" s="62"/>
      <c r="G586" s="26" t="s">
        <v>341</v>
      </c>
    </row>
    <row r="587" spans="2:7" ht="29" outlineLevel="1" x14ac:dyDescent="0.35">
      <c r="B587" s="105"/>
      <c r="C587" s="105"/>
      <c r="D587" s="21" t="s">
        <v>5418</v>
      </c>
      <c r="E587" s="21" t="s">
        <v>5420</v>
      </c>
      <c r="F587" s="62"/>
      <c r="G587" s="26" t="s">
        <v>341</v>
      </c>
    </row>
    <row r="588" spans="2:7" ht="87" outlineLevel="1" x14ac:dyDescent="0.35">
      <c r="B588" s="105"/>
      <c r="C588" s="105"/>
      <c r="D588" s="21" t="s">
        <v>5419</v>
      </c>
      <c r="E588" s="21" t="s">
        <v>5421</v>
      </c>
      <c r="F588" s="62"/>
      <c r="G588" s="26" t="s">
        <v>341</v>
      </c>
    </row>
    <row r="589" spans="2:7" ht="101.5" outlineLevel="1" x14ac:dyDescent="0.35">
      <c r="B589" s="105"/>
      <c r="C589" s="105"/>
      <c r="D589" s="21" t="s">
        <v>4953</v>
      </c>
      <c r="E589" s="21" t="s">
        <v>4956</v>
      </c>
      <c r="F589" s="62"/>
      <c r="G589" s="26" t="s">
        <v>341</v>
      </c>
    </row>
    <row r="590" spans="2:7" ht="309" customHeight="1" outlineLevel="1" x14ac:dyDescent="0.35">
      <c r="B590" s="105"/>
      <c r="C590" s="105"/>
      <c r="D590" s="21" t="s">
        <v>4954</v>
      </c>
      <c r="E590" s="21" t="s">
        <v>4957</v>
      </c>
      <c r="F590" s="62"/>
      <c r="G590" s="26" t="s">
        <v>341</v>
      </c>
    </row>
    <row r="591" spans="2:7" ht="72.5" outlineLevel="1" x14ac:dyDescent="0.35">
      <c r="B591" s="105"/>
      <c r="C591" s="105"/>
      <c r="D591" s="21" t="s">
        <v>4837</v>
      </c>
      <c r="E591" s="21" t="s">
        <v>4843</v>
      </c>
      <c r="F591" s="62"/>
      <c r="G591" s="26" t="s">
        <v>341</v>
      </c>
    </row>
    <row r="592" spans="2:7" ht="87" outlineLevel="1" x14ac:dyDescent="0.35">
      <c r="B592" s="105"/>
      <c r="C592" s="105"/>
      <c r="D592" s="21" t="s">
        <v>4914</v>
      </c>
      <c r="E592" s="21" t="s">
        <v>4915</v>
      </c>
      <c r="F592" s="62"/>
      <c r="G592" s="26" t="s">
        <v>341</v>
      </c>
    </row>
    <row r="593" spans="2:8" ht="43.5" outlineLevel="1" x14ac:dyDescent="0.35">
      <c r="B593" s="105"/>
      <c r="C593" s="105"/>
      <c r="D593" s="21" t="s">
        <v>4838</v>
      </c>
      <c r="E593" s="21" t="s">
        <v>4930</v>
      </c>
      <c r="F593" s="62"/>
      <c r="G593" s="26" t="s">
        <v>341</v>
      </c>
    </row>
    <row r="594" spans="2:8" ht="101.5" outlineLevel="1" x14ac:dyDescent="0.35">
      <c r="B594" s="105"/>
      <c r="C594" s="105"/>
      <c r="D594" s="21" t="s">
        <v>4839</v>
      </c>
      <c r="E594" s="21" t="s">
        <v>4844</v>
      </c>
      <c r="F594" s="62"/>
      <c r="G594" s="26" t="s">
        <v>341</v>
      </c>
    </row>
    <row r="595" spans="2:8" ht="58" outlineLevel="1" x14ac:dyDescent="0.35">
      <c r="B595" s="105"/>
      <c r="C595" s="105"/>
      <c r="D595" s="21" t="s">
        <v>4840</v>
      </c>
      <c r="E595" s="21" t="s">
        <v>4933</v>
      </c>
      <c r="F595" s="62"/>
      <c r="G595" s="26" t="s">
        <v>341</v>
      </c>
    </row>
    <row r="596" spans="2:8" x14ac:dyDescent="0.35">
      <c r="B596" s="105"/>
      <c r="C596" s="84" t="s">
        <v>5062</v>
      </c>
      <c r="D596" s="85"/>
      <c r="E596" s="106"/>
      <c r="F596" s="62"/>
      <c r="G596" s="23">
        <f>COUNTIF(G597:G600,"Yes")</f>
        <v>3</v>
      </c>
    </row>
    <row r="597" spans="2:8" x14ac:dyDescent="0.35">
      <c r="B597" s="77"/>
      <c r="C597" s="77"/>
      <c r="D597" s="75" t="s">
        <v>5063</v>
      </c>
      <c r="E597" s="2"/>
      <c r="G597" s="88"/>
    </row>
    <row r="598" spans="2:8" ht="58" outlineLevel="1" x14ac:dyDescent="0.35">
      <c r="B598" s="105"/>
      <c r="C598" s="105"/>
      <c r="D598" s="21" t="s">
        <v>5064</v>
      </c>
      <c r="E598" s="21" t="s">
        <v>5104</v>
      </c>
      <c r="F598" s="62"/>
      <c r="G598" s="26" t="s">
        <v>341</v>
      </c>
    </row>
    <row r="599" spans="2:8" ht="58" outlineLevel="1" x14ac:dyDescent="0.35">
      <c r="B599" s="105"/>
      <c r="C599" s="105"/>
      <c r="D599" s="21" t="s">
        <v>5067</v>
      </c>
      <c r="E599" s="21" t="s">
        <v>5066</v>
      </c>
      <c r="F599" s="62"/>
      <c r="G599" s="26" t="s">
        <v>341</v>
      </c>
    </row>
    <row r="600" spans="2:8" ht="43.5" outlineLevel="1" x14ac:dyDescent="0.35">
      <c r="B600" s="105"/>
      <c r="C600" s="105"/>
      <c r="D600" s="21" t="s">
        <v>5065</v>
      </c>
      <c r="E600" s="21" t="s">
        <v>5103</v>
      </c>
      <c r="F600" s="62"/>
      <c r="G600" s="26" t="s">
        <v>341</v>
      </c>
    </row>
    <row r="601" spans="2:8" ht="16.5" customHeight="1" x14ac:dyDescent="0.35">
      <c r="B601" s="77"/>
      <c r="C601" s="84" t="s">
        <v>3843</v>
      </c>
      <c r="D601" s="79"/>
      <c r="E601" s="2"/>
      <c r="G601" s="88"/>
    </row>
    <row r="602" spans="2:8" x14ac:dyDescent="0.35">
      <c r="B602" s="77"/>
      <c r="C602" s="77" t="s">
        <v>3844</v>
      </c>
      <c r="D602" s="79"/>
      <c r="E602" s="2"/>
      <c r="G602" s="23">
        <f>COUNTIF(G603:G610,"Yes")</f>
        <v>7</v>
      </c>
      <c r="H602" s="74"/>
    </row>
    <row r="603" spans="2:8" x14ac:dyDescent="0.35">
      <c r="B603" s="77"/>
      <c r="C603" s="77"/>
      <c r="D603" s="75" t="s">
        <v>3851</v>
      </c>
      <c r="E603" s="2"/>
      <c r="G603" s="88"/>
    </row>
    <row r="604" spans="2:8" ht="58" outlineLevel="1" collapsed="1" x14ac:dyDescent="0.35">
      <c r="B604" s="2"/>
      <c r="C604" s="77"/>
      <c r="D604" s="21" t="s">
        <v>3300</v>
      </c>
      <c r="E604" s="21" t="s">
        <v>4054</v>
      </c>
      <c r="F604" s="62"/>
      <c r="G604" s="26" t="s">
        <v>341</v>
      </c>
    </row>
    <row r="605" spans="2:8" ht="58" outlineLevel="1" x14ac:dyDescent="0.35">
      <c r="B605" s="2"/>
      <c r="C605" s="77"/>
      <c r="D605" s="21" t="s">
        <v>3301</v>
      </c>
      <c r="E605" s="21" t="s">
        <v>3332</v>
      </c>
      <c r="F605" s="62"/>
      <c r="G605" s="26" t="s">
        <v>341</v>
      </c>
    </row>
    <row r="606" spans="2:8" ht="58" outlineLevel="1" x14ac:dyDescent="0.35">
      <c r="B606" s="2"/>
      <c r="C606" s="77"/>
      <c r="D606" s="21" t="s">
        <v>3393</v>
      </c>
      <c r="E606" s="21" t="s">
        <v>3333</v>
      </c>
      <c r="F606" s="62"/>
      <c r="G606" s="26" t="s">
        <v>341</v>
      </c>
    </row>
    <row r="607" spans="2:8" ht="43.5" outlineLevel="1" x14ac:dyDescent="0.35">
      <c r="B607" s="2"/>
      <c r="C607" s="77"/>
      <c r="D607" s="21" t="s">
        <v>3302</v>
      </c>
      <c r="E607" s="21" t="s">
        <v>2558</v>
      </c>
      <c r="F607" s="62"/>
      <c r="G607" s="26" t="s">
        <v>341</v>
      </c>
    </row>
    <row r="608" spans="2:8" ht="43.5" outlineLevel="1" x14ac:dyDescent="0.35">
      <c r="B608" s="2"/>
      <c r="C608" s="77"/>
      <c r="D608" s="21" t="s">
        <v>3852</v>
      </c>
      <c r="E608" s="104" t="s">
        <v>3348</v>
      </c>
      <c r="F608" s="62"/>
      <c r="G608" s="26" t="s">
        <v>341</v>
      </c>
    </row>
    <row r="609" spans="2:8" ht="43.5" outlineLevel="1" x14ac:dyDescent="0.35">
      <c r="B609" s="2"/>
      <c r="C609" s="77"/>
      <c r="D609" s="21" t="s">
        <v>3388</v>
      </c>
      <c r="E609" s="21" t="s">
        <v>3345</v>
      </c>
      <c r="F609" s="62"/>
      <c r="G609" s="26" t="s">
        <v>341</v>
      </c>
    </row>
    <row r="610" spans="2:8" ht="58" outlineLevel="1" collapsed="1" x14ac:dyDescent="0.35">
      <c r="B610" s="2"/>
      <c r="C610" s="77"/>
      <c r="D610" s="21" t="s">
        <v>3389</v>
      </c>
      <c r="E610" s="21" t="s">
        <v>3349</v>
      </c>
      <c r="F610" s="62"/>
      <c r="G610" s="26" t="s">
        <v>341</v>
      </c>
    </row>
    <row r="611" spans="2:8" x14ac:dyDescent="0.35">
      <c r="B611" s="77"/>
      <c r="C611" s="84" t="s">
        <v>3845</v>
      </c>
      <c r="D611" s="104"/>
      <c r="E611" s="2"/>
      <c r="G611" s="23">
        <f>COUNTIF(G612:G616,"Yes")</f>
        <v>4</v>
      </c>
      <c r="H611" s="74"/>
    </row>
    <row r="612" spans="2:8" x14ac:dyDescent="0.35">
      <c r="B612" s="77"/>
      <c r="C612" s="77"/>
      <c r="D612" s="75" t="s">
        <v>3846</v>
      </c>
      <c r="E612" s="2"/>
      <c r="G612" s="88"/>
    </row>
    <row r="613" spans="2:8" ht="58" outlineLevel="1" collapsed="1" x14ac:dyDescent="0.35">
      <c r="B613" s="2"/>
      <c r="C613" s="77"/>
      <c r="D613" s="21" t="s">
        <v>2683</v>
      </c>
      <c r="E613" s="21" t="s">
        <v>2685</v>
      </c>
      <c r="F613" s="62"/>
      <c r="G613" s="26" t="s">
        <v>341</v>
      </c>
    </row>
    <row r="614" spans="2:8" ht="58" outlineLevel="1" x14ac:dyDescent="0.35">
      <c r="B614" s="2"/>
      <c r="C614" s="77"/>
      <c r="D614" s="21" t="s">
        <v>2684</v>
      </c>
      <c r="E614" s="21" t="s">
        <v>2686</v>
      </c>
      <c r="F614" s="62"/>
      <c r="G614" s="26" t="s">
        <v>341</v>
      </c>
    </row>
    <row r="615" spans="2:8" ht="58" outlineLevel="1" x14ac:dyDescent="0.35">
      <c r="B615" s="2"/>
      <c r="C615" s="77"/>
      <c r="D615" s="21" t="s">
        <v>2687</v>
      </c>
      <c r="E615" s="21" t="s">
        <v>4214</v>
      </c>
      <c r="F615" s="62"/>
      <c r="G615" s="26" t="s">
        <v>341</v>
      </c>
    </row>
    <row r="616" spans="2:8" ht="58" outlineLevel="1" x14ac:dyDescent="0.35">
      <c r="B616" s="2"/>
      <c r="C616" s="77"/>
      <c r="D616" s="21" t="s">
        <v>3393</v>
      </c>
      <c r="E616" s="21" t="s">
        <v>3333</v>
      </c>
      <c r="F616" s="62"/>
      <c r="G616" s="26" t="s">
        <v>341</v>
      </c>
    </row>
    <row r="617" spans="2:8" x14ac:dyDescent="0.35">
      <c r="B617" s="77"/>
      <c r="C617" s="84" t="s">
        <v>3847</v>
      </c>
      <c r="D617" s="104"/>
      <c r="E617" s="2"/>
      <c r="G617" s="23">
        <f>COUNTIF(G618:G622,"Yes")</f>
        <v>4</v>
      </c>
      <c r="H617" s="74"/>
    </row>
    <row r="618" spans="2:8" x14ac:dyDescent="0.35">
      <c r="B618" s="77"/>
      <c r="C618" s="77"/>
      <c r="D618" s="75" t="s">
        <v>3848</v>
      </c>
      <c r="E618" s="2"/>
      <c r="G618" s="88"/>
    </row>
    <row r="619" spans="2:8" ht="58" outlineLevel="1" collapsed="1" x14ac:dyDescent="0.35">
      <c r="B619" s="2"/>
      <c r="C619" s="77"/>
      <c r="D619" s="21" t="s">
        <v>3186</v>
      </c>
      <c r="E619" s="21" t="s">
        <v>3191</v>
      </c>
      <c r="F619" s="62"/>
      <c r="G619" s="26" t="s">
        <v>341</v>
      </c>
    </row>
    <row r="620" spans="2:8" ht="43.5" outlineLevel="1" x14ac:dyDescent="0.35">
      <c r="B620" s="2"/>
      <c r="C620" s="77"/>
      <c r="D620" s="21" t="s">
        <v>3187</v>
      </c>
      <c r="E620" s="21" t="s">
        <v>3190</v>
      </c>
      <c r="F620" s="62"/>
      <c r="G620" s="26" t="s">
        <v>341</v>
      </c>
    </row>
    <row r="621" spans="2:8" ht="72.5" outlineLevel="1" x14ac:dyDescent="0.35">
      <c r="B621" s="2"/>
      <c r="C621" s="77"/>
      <c r="D621" s="21" t="s">
        <v>3188</v>
      </c>
      <c r="E621" s="21" t="s">
        <v>3189</v>
      </c>
      <c r="F621" s="62"/>
      <c r="G621" s="26" t="s">
        <v>341</v>
      </c>
    </row>
    <row r="622" spans="2:8" ht="58" outlineLevel="1" x14ac:dyDescent="0.35">
      <c r="B622" s="2"/>
      <c r="C622" s="77"/>
      <c r="D622" s="21" t="s">
        <v>3393</v>
      </c>
      <c r="E622" s="21" t="s">
        <v>3333</v>
      </c>
      <c r="F622" s="62"/>
      <c r="G622" s="26" t="s">
        <v>341</v>
      </c>
    </row>
    <row r="623" spans="2:8" x14ac:dyDescent="0.35">
      <c r="B623" s="77"/>
      <c r="C623" s="84" t="s">
        <v>4621</v>
      </c>
      <c r="D623" s="104"/>
      <c r="E623" s="2"/>
      <c r="G623" s="23">
        <f>COUNTIF(G624:G635,"Yes")</f>
        <v>11</v>
      </c>
      <c r="H623" s="74"/>
    </row>
    <row r="624" spans="2:8" x14ac:dyDescent="0.35">
      <c r="B624" s="77"/>
      <c r="C624" s="77"/>
      <c r="D624" s="75" t="s">
        <v>4630</v>
      </c>
      <c r="E624" s="2"/>
      <c r="G624" s="88"/>
    </row>
    <row r="625" spans="2:7" ht="72.5" outlineLevel="1" collapsed="1" x14ac:dyDescent="0.35">
      <c r="B625" s="2"/>
      <c r="C625" s="77"/>
      <c r="D625" s="21" t="s">
        <v>4655</v>
      </c>
      <c r="E625" s="21" t="s">
        <v>4657</v>
      </c>
      <c r="F625" s="62"/>
      <c r="G625" s="26" t="s">
        <v>341</v>
      </c>
    </row>
    <row r="626" spans="2:7" ht="101.5" outlineLevel="1" x14ac:dyDescent="0.35">
      <c r="B626" s="2"/>
      <c r="C626" s="77"/>
      <c r="D626" s="21" t="s">
        <v>4998</v>
      </c>
      <c r="E626" s="21" t="s">
        <v>4636</v>
      </c>
      <c r="F626" s="62"/>
      <c r="G626" s="26" t="s">
        <v>341</v>
      </c>
    </row>
    <row r="627" spans="2:7" ht="72.5" outlineLevel="1" x14ac:dyDescent="0.35">
      <c r="B627" s="2"/>
      <c r="C627" s="77"/>
      <c r="D627" s="21" t="s">
        <v>5557</v>
      </c>
      <c r="E627" s="21" t="s">
        <v>5559</v>
      </c>
      <c r="F627" s="62"/>
      <c r="G627" s="26" t="s">
        <v>341</v>
      </c>
    </row>
    <row r="628" spans="2:7" ht="174" outlineLevel="1" x14ac:dyDescent="0.35">
      <c r="B628" s="2"/>
      <c r="C628" s="77"/>
      <c r="D628" s="21" t="s">
        <v>5558</v>
      </c>
      <c r="E628" s="21" t="s">
        <v>5560</v>
      </c>
      <c r="F628" s="62"/>
      <c r="G628" s="26" t="s">
        <v>341</v>
      </c>
    </row>
    <row r="629" spans="2:7" ht="72.5" outlineLevel="1" x14ac:dyDescent="0.35">
      <c r="B629" s="2"/>
      <c r="C629" s="77"/>
      <c r="D629" s="21" t="s">
        <v>4951</v>
      </c>
      <c r="E629" s="21" t="s">
        <v>5102</v>
      </c>
      <c r="F629" s="62"/>
      <c r="G629" s="26" t="s">
        <v>341</v>
      </c>
    </row>
    <row r="630" spans="2:7" ht="101.5" outlineLevel="1" x14ac:dyDescent="0.35">
      <c r="B630" s="2"/>
      <c r="C630" s="77"/>
      <c r="D630" s="21" t="s">
        <v>4950</v>
      </c>
      <c r="E630" s="21" t="s">
        <v>5683</v>
      </c>
      <c r="F630" s="62"/>
      <c r="G630" s="26" t="s">
        <v>341</v>
      </c>
    </row>
    <row r="631" spans="2:7" ht="409.5" outlineLevel="1" x14ac:dyDescent="0.35">
      <c r="B631" s="2"/>
      <c r="C631" s="77"/>
      <c r="D631" s="21" t="s">
        <v>4912</v>
      </c>
      <c r="E631" s="21" t="s">
        <v>4913</v>
      </c>
      <c r="F631" s="62"/>
      <c r="G631" s="26" t="s">
        <v>341</v>
      </c>
    </row>
    <row r="632" spans="2:7" ht="43.5" outlineLevel="1" x14ac:dyDescent="0.35">
      <c r="B632" s="2"/>
      <c r="C632" s="77"/>
      <c r="D632" s="21" t="s">
        <v>4622</v>
      </c>
      <c r="E632" s="21" t="s">
        <v>4624</v>
      </c>
      <c r="F632" s="62"/>
      <c r="G632" s="26" t="s">
        <v>341</v>
      </c>
    </row>
    <row r="633" spans="2:7" ht="87" customHeight="1" outlineLevel="1" x14ac:dyDescent="0.35">
      <c r="B633" s="2"/>
      <c r="C633" s="77"/>
      <c r="D633" s="21" t="s">
        <v>4656</v>
      </c>
      <c r="E633" s="21" t="s">
        <v>4658</v>
      </c>
      <c r="F633" s="62"/>
      <c r="G633" s="26" t="s">
        <v>341</v>
      </c>
    </row>
    <row r="634" spans="2:7" ht="87" customHeight="1" outlineLevel="1" x14ac:dyDescent="0.35">
      <c r="B634" s="2"/>
      <c r="C634" s="77"/>
      <c r="D634" s="21" t="s">
        <v>5299</v>
      </c>
      <c r="E634" s="21" t="s">
        <v>5300</v>
      </c>
      <c r="F634" s="62"/>
      <c r="G634" s="26" t="s">
        <v>341</v>
      </c>
    </row>
    <row r="635" spans="2:7" ht="87" customHeight="1" outlineLevel="1" x14ac:dyDescent="0.35">
      <c r="B635" s="2"/>
      <c r="C635" s="77"/>
      <c r="D635" s="21" t="s">
        <v>4623</v>
      </c>
      <c r="E635" s="21" t="s">
        <v>4631</v>
      </c>
      <c r="F635" s="62"/>
      <c r="G635" s="26" t="s">
        <v>341</v>
      </c>
    </row>
  </sheetData>
  <sortState xmlns:xlrd2="http://schemas.microsoft.com/office/spreadsheetml/2017/richdata2" ref="B8:E371">
    <sortCondition ref="D216"/>
  </sortState>
  <mergeCells count="3">
    <mergeCell ref="B6:E6"/>
    <mergeCell ref="B2:B4"/>
    <mergeCell ref="G3:G4"/>
  </mergeCells>
  <dataValidations count="1">
    <dataValidation type="list" allowBlank="1" showInputMessage="1" showErrorMessage="1" sqref="G32:G36 G26:G29 G61:G62 G76:G78 G88:G90 G80:G82 G84:G86 G54 G50:G52 G56:G59 G561:G566 G64:G66 G48 G335:G351 G246:G248 G426:G439 G518:G521 G222:G224 G226:G228 G45:G46 G68:G73 G452:G458 G294:G298 G444:G446 G204:G205 G237:G238 G92 G441:G442 G537:G538 G541:G544 G546:G549 G552:G554 G556:G558 G568:G573 G216:G218 G448:G449 G208:G210 G276:G278 G230:G234 G135:G136 G130:G132 G460:G465 G38:G42 G11:G24 G272:G274 G412:G424 G389:G410 G241:G244 G212:G214 G150:G162 G164:G171 G598:G600 G138:G148 G281:G292 G613:G616 G265:G268 G177:G187 G360:G371 G619:G622 G604:G610 G173:G175 G195:G197 G199:G202 G301:G309 G311:G322 G324:G332 G625:G635 G353:G357 G584:G595 G491:G496 G513:G515 G509:G511 G524:G527 G529:G530 G533:G535 G191:G192 G374:G379 G481:G483 G468:G474 G250:G254 G256:G258 G498:G499 G501:G506 G576:G582 G95:G128 G476:G478 G381:G383 G260:G263 G385:G386" xr:uid="{00000000-0002-0000-0500-000000000000}">
      <formula1>"Yes, No"</formula1>
    </dataValidation>
  </dataValidation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293276"/>
  </sheetPr>
  <dimension ref="B1:H174"/>
  <sheetViews>
    <sheetView showGridLines="0" zoomScale="80" zoomScaleNormal="80" workbookViewId="0">
      <selection activeCell="C2" sqref="C2"/>
    </sheetView>
  </sheetViews>
  <sheetFormatPr defaultColWidth="9.1796875" defaultRowHeight="14.5" outlineLevelRow="1" x14ac:dyDescent="0.35"/>
  <cols>
    <col min="1" max="1" width="2.1796875" style="79" customWidth="1"/>
    <col min="2" max="3" width="30.6328125" style="79" customWidth="1"/>
    <col min="4" max="4" width="50.6328125" style="96" customWidth="1"/>
    <col min="5" max="5" width="76.6328125" style="96" customWidth="1"/>
    <col min="6" max="6" width="2.1796875" style="79" customWidth="1"/>
    <col min="7" max="7" width="9.1796875" style="98"/>
    <col min="8" max="16384" width="9.1796875" style="79"/>
  </cols>
  <sheetData>
    <row r="1" spans="2:8" s="58" customFormat="1" ht="18.5" customHeight="1" x14ac:dyDescent="0.5">
      <c r="B1" s="61"/>
      <c r="C1" s="69"/>
      <c r="D1" s="100"/>
      <c r="E1" s="100"/>
      <c r="G1" s="9"/>
    </row>
    <row r="2" spans="2:8" s="58" customFormat="1" ht="14.5" customHeight="1" x14ac:dyDescent="0.35">
      <c r="B2" s="194"/>
      <c r="C2" s="155"/>
      <c r="D2" s="101" t="s">
        <v>41</v>
      </c>
      <c r="E2" s="15" t="s">
        <v>40</v>
      </c>
      <c r="G2" s="13" t="s">
        <v>342</v>
      </c>
    </row>
    <row r="3" spans="2:8" s="58" customFormat="1" ht="14.5" customHeight="1" x14ac:dyDescent="0.35">
      <c r="B3" s="194"/>
      <c r="C3" s="155"/>
      <c r="D3" s="101" t="s">
        <v>226</v>
      </c>
      <c r="E3" s="11">
        <f>COUNTIF(E8:E142,"*")</f>
        <v>79</v>
      </c>
      <c r="G3" s="185">
        <f>COUNTIF(G8:G142,"Yes")</f>
        <v>79</v>
      </c>
    </row>
    <row r="4" spans="2:8" s="58" customFormat="1" ht="14.5" customHeight="1" x14ac:dyDescent="0.35">
      <c r="B4" s="194"/>
      <c r="C4" s="155"/>
      <c r="D4" s="101" t="s">
        <v>79</v>
      </c>
      <c r="E4" s="15" t="str">
        <f>'(3) Transactional Processes'!E4</f>
        <v>R25 Model Bank</v>
      </c>
      <c r="G4" s="186"/>
    </row>
    <row r="5" spans="2:8" s="58" customFormat="1" ht="18.5" x14ac:dyDescent="0.35">
      <c r="B5" s="149"/>
      <c r="C5" s="149"/>
      <c r="D5" s="72"/>
      <c r="E5" s="73"/>
      <c r="G5" s="9"/>
    </row>
    <row r="6" spans="2:8" x14ac:dyDescent="0.35">
      <c r="B6" s="195"/>
      <c r="C6" s="196"/>
      <c r="D6" s="196"/>
      <c r="E6" s="113"/>
      <c r="G6" s="18" t="s">
        <v>340</v>
      </c>
      <c r="H6" s="74"/>
    </row>
    <row r="7" spans="2:8" x14ac:dyDescent="0.35">
      <c r="B7" s="75" t="s">
        <v>83</v>
      </c>
      <c r="C7" s="75" t="s">
        <v>86</v>
      </c>
      <c r="D7" s="75" t="s">
        <v>87</v>
      </c>
      <c r="E7" s="75" t="s">
        <v>54</v>
      </c>
      <c r="G7" s="76" t="s">
        <v>342</v>
      </c>
    </row>
    <row r="8" spans="2:8" x14ac:dyDescent="0.35">
      <c r="B8" s="77" t="s">
        <v>850</v>
      </c>
      <c r="C8" s="77"/>
      <c r="D8" s="2"/>
      <c r="E8" s="2"/>
      <c r="G8" s="29"/>
    </row>
    <row r="9" spans="2:8" x14ac:dyDescent="0.35">
      <c r="B9" s="77"/>
      <c r="C9" s="77" t="s">
        <v>1688</v>
      </c>
      <c r="D9" s="2"/>
      <c r="E9" s="2"/>
      <c r="G9" s="23">
        <f>COUNTIF(G11:G22,"Yes")</f>
        <v>9</v>
      </c>
      <c r="H9" s="74"/>
    </row>
    <row r="10" spans="2:8" x14ac:dyDescent="0.35">
      <c r="B10" s="77"/>
      <c r="C10" s="77"/>
      <c r="D10" s="81" t="s">
        <v>3697</v>
      </c>
      <c r="E10" s="2"/>
      <c r="G10" s="29"/>
    </row>
    <row r="11" spans="2:8" ht="29" outlineLevel="1" x14ac:dyDescent="0.35">
      <c r="B11" s="77"/>
      <c r="C11" s="77"/>
      <c r="D11" s="2" t="s">
        <v>3533</v>
      </c>
      <c r="E11" s="2" t="s">
        <v>181</v>
      </c>
      <c r="F11" s="62"/>
      <c r="G11" s="26" t="s">
        <v>341</v>
      </c>
    </row>
    <row r="12" spans="2:8" x14ac:dyDescent="0.35">
      <c r="B12" s="77"/>
      <c r="C12" s="77"/>
      <c r="D12" s="81" t="s">
        <v>890</v>
      </c>
      <c r="E12" s="2"/>
      <c r="F12" s="62"/>
      <c r="G12" s="29"/>
    </row>
    <row r="13" spans="2:8" ht="43.5" outlineLevel="1" x14ac:dyDescent="0.35">
      <c r="B13" s="77"/>
      <c r="C13" s="77"/>
      <c r="D13" s="2" t="s">
        <v>3534</v>
      </c>
      <c r="E13" s="2" t="s">
        <v>283</v>
      </c>
      <c r="F13" s="62"/>
      <c r="G13" s="26" t="s">
        <v>341</v>
      </c>
    </row>
    <row r="14" spans="2:8" x14ac:dyDescent="0.35">
      <c r="B14" s="77"/>
      <c r="C14" s="77"/>
      <c r="D14" s="81" t="s">
        <v>269</v>
      </c>
      <c r="E14" s="2"/>
      <c r="F14" s="62"/>
      <c r="G14" s="29"/>
    </row>
    <row r="15" spans="2:8" ht="29" outlineLevel="1" x14ac:dyDescent="0.35">
      <c r="B15" s="77"/>
      <c r="C15" s="77"/>
      <c r="D15" s="2" t="s">
        <v>3535</v>
      </c>
      <c r="E15" s="2" t="s">
        <v>611</v>
      </c>
      <c r="F15" s="62"/>
      <c r="G15" s="26" t="s">
        <v>341</v>
      </c>
    </row>
    <row r="16" spans="2:8" x14ac:dyDescent="0.35">
      <c r="B16" s="77"/>
      <c r="C16" s="77"/>
      <c r="D16" s="81" t="s">
        <v>270</v>
      </c>
      <c r="E16" s="2"/>
      <c r="F16" s="62"/>
      <c r="G16" s="29"/>
    </row>
    <row r="17" spans="2:8" ht="29" outlineLevel="1" x14ac:dyDescent="0.35">
      <c r="B17" s="77"/>
      <c r="C17" s="77"/>
      <c r="D17" s="2" t="s">
        <v>867</v>
      </c>
      <c r="E17" s="2" t="s">
        <v>759</v>
      </c>
      <c r="F17" s="62"/>
      <c r="G17" s="26" t="s">
        <v>341</v>
      </c>
    </row>
    <row r="18" spans="2:8" ht="43.5" outlineLevel="1" x14ac:dyDescent="0.35">
      <c r="B18" s="77"/>
      <c r="C18" s="77"/>
      <c r="D18" s="2" t="s">
        <v>868</v>
      </c>
      <c r="E18" s="2" t="s">
        <v>2535</v>
      </c>
      <c r="F18" s="62"/>
      <c r="G18" s="26" t="s">
        <v>341</v>
      </c>
    </row>
    <row r="19" spans="2:8" ht="72.5" outlineLevel="1" x14ac:dyDescent="0.35">
      <c r="B19" s="77"/>
      <c r="C19" s="77"/>
      <c r="D19" s="2" t="s">
        <v>3536</v>
      </c>
      <c r="E19" s="2" t="s">
        <v>4208</v>
      </c>
      <c r="F19" s="62"/>
      <c r="G19" s="114" t="s">
        <v>341</v>
      </c>
    </row>
    <row r="20" spans="2:8" ht="43.5" outlineLevel="1" x14ac:dyDescent="0.35">
      <c r="B20" s="77"/>
      <c r="C20" s="77"/>
      <c r="D20" s="2" t="s">
        <v>3537</v>
      </c>
      <c r="E20" s="2" t="s">
        <v>544</v>
      </c>
      <c r="F20" s="62"/>
      <c r="G20" s="26" t="s">
        <v>341</v>
      </c>
    </row>
    <row r="21" spans="2:8" ht="58" outlineLevel="1" x14ac:dyDescent="0.35">
      <c r="B21" s="77"/>
      <c r="C21" s="77"/>
      <c r="D21" s="2" t="s">
        <v>3538</v>
      </c>
      <c r="E21" s="2" t="s">
        <v>543</v>
      </c>
      <c r="F21" s="62"/>
      <c r="G21" s="26" t="s">
        <v>341</v>
      </c>
    </row>
    <row r="22" spans="2:8" ht="58" outlineLevel="1" x14ac:dyDescent="0.35">
      <c r="B22" s="77"/>
      <c r="C22" s="77"/>
      <c r="D22" s="2" t="s">
        <v>3539</v>
      </c>
      <c r="E22" s="2" t="s">
        <v>1917</v>
      </c>
      <c r="F22" s="62"/>
      <c r="G22" s="26" t="s">
        <v>341</v>
      </c>
    </row>
    <row r="23" spans="2:8" x14ac:dyDescent="0.35">
      <c r="B23" s="77"/>
      <c r="C23" s="77" t="s">
        <v>612</v>
      </c>
      <c r="D23" s="2"/>
      <c r="E23" s="2"/>
      <c r="F23" s="62"/>
      <c r="G23" s="23">
        <f>COUNTIF(G25:G37,"Yes")</f>
        <v>10</v>
      </c>
      <c r="H23" s="74"/>
    </row>
    <row r="24" spans="2:8" x14ac:dyDescent="0.35">
      <c r="B24" s="77"/>
      <c r="C24" s="77"/>
      <c r="D24" s="81" t="s">
        <v>3506</v>
      </c>
      <c r="E24" s="2"/>
      <c r="F24" s="62"/>
      <c r="G24" s="29"/>
    </row>
    <row r="25" spans="2:8" ht="29" outlineLevel="1" x14ac:dyDescent="0.35">
      <c r="B25" s="77"/>
      <c r="C25" s="77"/>
      <c r="D25" s="2" t="s">
        <v>3540</v>
      </c>
      <c r="E25" s="2" t="s">
        <v>613</v>
      </c>
      <c r="F25" s="62"/>
      <c r="G25" s="26" t="s">
        <v>341</v>
      </c>
    </row>
    <row r="26" spans="2:8" x14ac:dyDescent="0.35">
      <c r="B26" s="77"/>
      <c r="C26" s="77"/>
      <c r="D26" s="81" t="s">
        <v>3507</v>
      </c>
      <c r="E26" s="2"/>
      <c r="F26" s="62"/>
      <c r="G26" s="29"/>
    </row>
    <row r="27" spans="2:8" ht="43.5" outlineLevel="1" x14ac:dyDescent="0.35">
      <c r="B27" s="77"/>
      <c r="C27" s="77"/>
      <c r="D27" s="2" t="s">
        <v>3541</v>
      </c>
      <c r="E27" s="2" t="s">
        <v>3003</v>
      </c>
      <c r="F27" s="62"/>
      <c r="G27" s="26" t="s">
        <v>341</v>
      </c>
    </row>
    <row r="28" spans="2:8" ht="43.5" outlineLevel="1" x14ac:dyDescent="0.35">
      <c r="B28" s="77"/>
      <c r="C28" s="77"/>
      <c r="D28" s="2" t="s">
        <v>3542</v>
      </c>
      <c r="E28" s="2" t="s">
        <v>547</v>
      </c>
      <c r="F28" s="62"/>
      <c r="G28" s="26" t="s">
        <v>341</v>
      </c>
    </row>
    <row r="29" spans="2:8" x14ac:dyDescent="0.35">
      <c r="B29" s="77"/>
      <c r="C29" s="77"/>
      <c r="D29" s="81" t="s">
        <v>153</v>
      </c>
      <c r="E29" s="2"/>
      <c r="F29" s="62"/>
      <c r="G29" s="29"/>
    </row>
    <row r="30" spans="2:8" ht="72.5" outlineLevel="1" x14ac:dyDescent="0.35">
      <c r="B30" s="77"/>
      <c r="C30" s="77"/>
      <c r="D30" s="2" t="s">
        <v>3694</v>
      </c>
      <c r="E30" s="2" t="s">
        <v>1211</v>
      </c>
      <c r="F30" s="62"/>
      <c r="G30" s="26" t="s">
        <v>341</v>
      </c>
    </row>
    <row r="31" spans="2:8" ht="29" outlineLevel="1" x14ac:dyDescent="0.35">
      <c r="B31" s="77"/>
      <c r="C31" s="77"/>
      <c r="D31" s="2" t="s">
        <v>154</v>
      </c>
      <c r="E31" s="2" t="s">
        <v>614</v>
      </c>
      <c r="F31" s="62"/>
      <c r="G31" s="26" t="s">
        <v>341</v>
      </c>
    </row>
    <row r="32" spans="2:8" ht="29" outlineLevel="1" x14ac:dyDescent="0.35">
      <c r="B32" s="77"/>
      <c r="C32" s="77"/>
      <c r="D32" s="2" t="s">
        <v>3543</v>
      </c>
      <c r="E32" s="2" t="s">
        <v>4006</v>
      </c>
      <c r="F32" s="62"/>
      <c r="G32" s="26" t="s">
        <v>341</v>
      </c>
    </row>
    <row r="33" spans="2:8" x14ac:dyDescent="0.35">
      <c r="B33" s="77"/>
      <c r="C33" s="77"/>
      <c r="D33" s="81" t="s">
        <v>649</v>
      </c>
      <c r="E33" s="2"/>
      <c r="F33" s="62"/>
      <c r="G33" s="29"/>
    </row>
    <row r="34" spans="2:8" outlineLevel="1" x14ac:dyDescent="0.35">
      <c r="B34" s="77"/>
      <c r="C34" s="77"/>
      <c r="D34" s="2" t="s">
        <v>869</v>
      </c>
      <c r="E34" s="2" t="s">
        <v>59</v>
      </c>
      <c r="F34" s="62"/>
      <c r="G34" s="26" t="s">
        <v>341</v>
      </c>
    </row>
    <row r="35" spans="2:8" ht="29" outlineLevel="1" x14ac:dyDescent="0.35">
      <c r="B35" s="77"/>
      <c r="C35" s="77"/>
      <c r="D35" s="2" t="s">
        <v>870</v>
      </c>
      <c r="E35" s="2" t="s">
        <v>60</v>
      </c>
      <c r="F35" s="62"/>
      <c r="G35" s="26" t="s">
        <v>341</v>
      </c>
    </row>
    <row r="36" spans="2:8" ht="29" outlineLevel="1" x14ac:dyDescent="0.35">
      <c r="B36" s="77"/>
      <c r="C36" s="77"/>
      <c r="D36" s="2" t="s">
        <v>871</v>
      </c>
      <c r="E36" s="2" t="s">
        <v>1910</v>
      </c>
      <c r="F36" s="62"/>
      <c r="G36" s="26" t="s">
        <v>341</v>
      </c>
    </row>
    <row r="37" spans="2:8" ht="31.5" customHeight="1" outlineLevel="1" x14ac:dyDescent="0.35">
      <c r="B37" s="77"/>
      <c r="C37" s="77"/>
      <c r="D37" s="2" t="s">
        <v>872</v>
      </c>
      <c r="E37" s="2" t="s">
        <v>1912</v>
      </c>
      <c r="F37" s="62"/>
      <c r="G37" s="26" t="s">
        <v>341</v>
      </c>
    </row>
    <row r="38" spans="2:8" x14ac:dyDescent="0.35">
      <c r="B38" s="77"/>
      <c r="C38" s="77" t="s">
        <v>155</v>
      </c>
      <c r="D38" s="2"/>
      <c r="E38" s="2"/>
      <c r="F38" s="62"/>
      <c r="G38" s="23">
        <f>COUNTIF(G39:G47,"Yes")</f>
        <v>5</v>
      </c>
      <c r="H38" s="74"/>
    </row>
    <row r="39" spans="2:8" x14ac:dyDescent="0.35">
      <c r="B39" s="77"/>
      <c r="C39" s="77"/>
      <c r="D39" s="81" t="s">
        <v>3508</v>
      </c>
      <c r="E39" s="2"/>
      <c r="F39" s="62"/>
      <c r="G39" s="29"/>
    </row>
    <row r="40" spans="2:8" ht="29" outlineLevel="1" x14ac:dyDescent="0.35">
      <c r="B40" s="77"/>
      <c r="C40" s="77"/>
      <c r="D40" s="2" t="s">
        <v>3509</v>
      </c>
      <c r="E40" s="2" t="s">
        <v>221</v>
      </c>
      <c r="F40" s="62"/>
      <c r="G40" s="26" t="s">
        <v>341</v>
      </c>
    </row>
    <row r="41" spans="2:8" x14ac:dyDescent="0.35">
      <c r="B41" s="77"/>
      <c r="C41" s="77"/>
      <c r="D41" s="81" t="s">
        <v>3510</v>
      </c>
      <c r="E41" s="2"/>
      <c r="F41" s="62"/>
      <c r="G41" s="29"/>
    </row>
    <row r="42" spans="2:8" ht="121" customHeight="1" outlineLevel="1" x14ac:dyDescent="0.35">
      <c r="B42" s="77"/>
      <c r="C42" s="77"/>
      <c r="D42" s="2" t="s">
        <v>156</v>
      </c>
      <c r="E42" s="2" t="s">
        <v>3048</v>
      </c>
      <c r="F42" s="62"/>
      <c r="G42" s="26" t="s">
        <v>341</v>
      </c>
    </row>
    <row r="43" spans="2:8" x14ac:dyDescent="0.35">
      <c r="B43" s="77"/>
      <c r="C43" s="77"/>
      <c r="D43" s="81" t="s">
        <v>157</v>
      </c>
      <c r="E43" s="2"/>
      <c r="F43" s="62"/>
      <c r="G43" s="29"/>
    </row>
    <row r="44" spans="2:8" ht="29" outlineLevel="1" x14ac:dyDescent="0.35">
      <c r="B44" s="77"/>
      <c r="C44" s="77"/>
      <c r="D44" s="2" t="s">
        <v>3511</v>
      </c>
      <c r="E44" s="2" t="s">
        <v>760</v>
      </c>
      <c r="F44" s="62"/>
      <c r="G44" s="26" t="s">
        <v>341</v>
      </c>
    </row>
    <row r="45" spans="2:8" x14ac:dyDescent="0.35">
      <c r="B45" s="77"/>
      <c r="C45" s="77"/>
      <c r="D45" s="81" t="s">
        <v>158</v>
      </c>
      <c r="E45" s="2"/>
      <c r="F45" s="62"/>
      <c r="G45" s="88"/>
    </row>
    <row r="46" spans="2:8" ht="17.5" customHeight="1" outlineLevel="1" x14ac:dyDescent="0.35">
      <c r="B46" s="77"/>
      <c r="C46" s="77"/>
      <c r="D46" s="2" t="s">
        <v>160</v>
      </c>
      <c r="E46" s="2" t="s">
        <v>761</v>
      </c>
      <c r="F46" s="62"/>
      <c r="G46" s="26" t="s">
        <v>341</v>
      </c>
    </row>
    <row r="47" spans="2:8" ht="20" customHeight="1" outlineLevel="1" x14ac:dyDescent="0.35">
      <c r="B47" s="77"/>
      <c r="C47" s="77"/>
      <c r="D47" s="2" t="s">
        <v>16</v>
      </c>
      <c r="E47" s="2" t="s">
        <v>159</v>
      </c>
      <c r="F47" s="62"/>
      <c r="G47" s="26" t="s">
        <v>341</v>
      </c>
    </row>
    <row r="48" spans="2:8" x14ac:dyDescent="0.35">
      <c r="B48" s="77"/>
      <c r="C48" s="77" t="s">
        <v>161</v>
      </c>
      <c r="D48" s="2"/>
      <c r="E48" s="2"/>
      <c r="F48" s="62"/>
      <c r="G48" s="23">
        <f>COUNTIF(G49:G57,"Yes")</f>
        <v>5</v>
      </c>
      <c r="H48" s="74"/>
    </row>
    <row r="49" spans="2:8" x14ac:dyDescent="0.35">
      <c r="B49" s="77"/>
      <c r="C49" s="77"/>
      <c r="D49" s="81" t="s">
        <v>3512</v>
      </c>
      <c r="E49" s="2"/>
      <c r="F49" s="62"/>
      <c r="G49" s="29"/>
    </row>
    <row r="50" spans="2:8" ht="29" outlineLevel="1" x14ac:dyDescent="0.35">
      <c r="B50" s="77"/>
      <c r="C50" s="77"/>
      <c r="D50" s="2" t="s">
        <v>3513</v>
      </c>
      <c r="E50" s="2" t="s">
        <v>222</v>
      </c>
      <c r="F50" s="62"/>
      <c r="G50" s="26" t="s">
        <v>341</v>
      </c>
    </row>
    <row r="51" spans="2:8" x14ac:dyDescent="0.35">
      <c r="B51" s="77"/>
      <c r="C51" s="77"/>
      <c r="D51" s="81" t="s">
        <v>3514</v>
      </c>
      <c r="E51" s="2"/>
      <c r="F51" s="62"/>
      <c r="G51" s="29"/>
    </row>
    <row r="52" spans="2:8" ht="118.5" customHeight="1" outlineLevel="1" x14ac:dyDescent="0.35">
      <c r="B52" s="77"/>
      <c r="C52" s="77"/>
      <c r="D52" s="2" t="s">
        <v>162</v>
      </c>
      <c r="E52" s="2" t="s">
        <v>3945</v>
      </c>
      <c r="F52" s="62"/>
      <c r="G52" s="26" t="s">
        <v>341</v>
      </c>
    </row>
    <row r="53" spans="2:8" x14ac:dyDescent="0.35">
      <c r="B53" s="77"/>
      <c r="C53" s="77"/>
      <c r="D53" s="81" t="s">
        <v>163</v>
      </c>
      <c r="E53" s="2"/>
      <c r="F53" s="62"/>
      <c r="G53" s="29"/>
    </row>
    <row r="54" spans="2:8" ht="29" outlineLevel="1" x14ac:dyDescent="0.35">
      <c r="B54" s="77"/>
      <c r="C54" s="77"/>
      <c r="D54" s="2" t="s">
        <v>3515</v>
      </c>
      <c r="E54" s="2" t="s">
        <v>164</v>
      </c>
      <c r="F54" s="62"/>
      <c r="G54" s="26" t="s">
        <v>341</v>
      </c>
    </row>
    <row r="55" spans="2:8" x14ac:dyDescent="0.35">
      <c r="B55" s="77"/>
      <c r="C55" s="77"/>
      <c r="D55" s="81" t="s">
        <v>165</v>
      </c>
      <c r="E55" s="2"/>
      <c r="F55" s="62"/>
      <c r="G55" s="29"/>
    </row>
    <row r="56" spans="2:8" ht="29" outlineLevel="1" x14ac:dyDescent="0.35">
      <c r="B56" s="77"/>
      <c r="C56" s="77"/>
      <c r="D56" s="2" t="s">
        <v>17</v>
      </c>
      <c r="E56" s="2" t="s">
        <v>166</v>
      </c>
      <c r="F56" s="62"/>
      <c r="G56" s="26" t="s">
        <v>341</v>
      </c>
    </row>
    <row r="57" spans="2:8" ht="29" outlineLevel="1" x14ac:dyDescent="0.35">
      <c r="B57" s="77"/>
      <c r="C57" s="77"/>
      <c r="D57" s="2" t="s">
        <v>167</v>
      </c>
      <c r="E57" s="2" t="s">
        <v>168</v>
      </c>
      <c r="F57" s="62"/>
      <c r="G57" s="26" t="s">
        <v>341</v>
      </c>
    </row>
    <row r="58" spans="2:8" x14ac:dyDescent="0.35">
      <c r="B58" s="77"/>
      <c r="C58" s="77" t="s">
        <v>169</v>
      </c>
      <c r="D58" s="1"/>
      <c r="E58" s="2"/>
      <c r="F58" s="62"/>
      <c r="G58" s="23">
        <f>COUNTIF(G59:G67,"Yes")</f>
        <v>5</v>
      </c>
      <c r="H58" s="74"/>
    </row>
    <row r="59" spans="2:8" x14ac:dyDescent="0.35">
      <c r="B59" s="77"/>
      <c r="C59" s="77"/>
      <c r="D59" s="81" t="s">
        <v>3516</v>
      </c>
      <c r="E59" s="2"/>
      <c r="F59" s="62"/>
      <c r="G59" s="29"/>
    </row>
    <row r="60" spans="2:8" ht="29" outlineLevel="1" x14ac:dyDescent="0.35">
      <c r="B60" s="77"/>
      <c r="C60" s="77"/>
      <c r="D60" s="2" t="s">
        <v>3517</v>
      </c>
      <c r="E60" s="2" t="s">
        <v>170</v>
      </c>
      <c r="F60" s="62"/>
      <c r="G60" s="26" t="s">
        <v>341</v>
      </c>
    </row>
    <row r="61" spans="2:8" x14ac:dyDescent="0.35">
      <c r="B61" s="77"/>
      <c r="C61" s="77"/>
      <c r="D61" s="81" t="s">
        <v>3518</v>
      </c>
      <c r="E61" s="2"/>
      <c r="F61" s="62"/>
      <c r="G61" s="29"/>
    </row>
    <row r="62" spans="2:8" ht="29" outlineLevel="1" x14ac:dyDescent="0.35">
      <c r="B62" s="77"/>
      <c r="C62" s="77"/>
      <c r="D62" s="2" t="s">
        <v>171</v>
      </c>
      <c r="E62" s="2" t="s">
        <v>224</v>
      </c>
      <c r="F62" s="62"/>
      <c r="G62" s="26" t="s">
        <v>341</v>
      </c>
    </row>
    <row r="63" spans="2:8" x14ac:dyDescent="0.35">
      <c r="B63" s="77"/>
      <c r="C63" s="77"/>
      <c r="D63" s="81" t="s">
        <v>172</v>
      </c>
      <c r="E63" s="2"/>
      <c r="F63" s="62"/>
      <c r="G63" s="29"/>
    </row>
    <row r="64" spans="2:8" ht="29" outlineLevel="1" x14ac:dyDescent="0.35">
      <c r="B64" s="77"/>
      <c r="C64" s="77"/>
      <c r="D64" s="2" t="s">
        <v>3519</v>
      </c>
      <c r="E64" s="2" t="s">
        <v>225</v>
      </c>
      <c r="F64" s="62"/>
      <c r="G64" s="26" t="s">
        <v>341</v>
      </c>
    </row>
    <row r="65" spans="2:8" x14ac:dyDescent="0.35">
      <c r="B65" s="77"/>
      <c r="C65" s="77"/>
      <c r="D65" s="81" t="s">
        <v>173</v>
      </c>
      <c r="E65" s="2"/>
      <c r="F65" s="62"/>
      <c r="G65" s="29"/>
    </row>
    <row r="66" spans="2:8" ht="43.5" outlineLevel="1" x14ac:dyDescent="0.35">
      <c r="B66" s="77"/>
      <c r="C66" s="77"/>
      <c r="D66" s="2" t="s">
        <v>18</v>
      </c>
      <c r="E66" s="2" t="s">
        <v>284</v>
      </c>
      <c r="F66" s="62"/>
      <c r="G66" s="26" t="s">
        <v>341</v>
      </c>
    </row>
    <row r="67" spans="2:8" ht="30.5" customHeight="1" outlineLevel="1" x14ac:dyDescent="0.35">
      <c r="B67" s="77"/>
      <c r="C67" s="77"/>
      <c r="D67" s="2" t="s">
        <v>3544</v>
      </c>
      <c r="E67" s="2" t="s">
        <v>174</v>
      </c>
      <c r="F67" s="62"/>
      <c r="G67" s="26" t="s">
        <v>341</v>
      </c>
    </row>
    <row r="68" spans="2:8" x14ac:dyDescent="0.35">
      <c r="B68" s="77"/>
      <c r="C68" s="77" t="s">
        <v>175</v>
      </c>
      <c r="D68" s="2"/>
      <c r="E68" s="2"/>
      <c r="F68" s="62"/>
      <c r="G68" s="23">
        <f>COUNTIF(G70:G86,"Yes")</f>
        <v>12</v>
      </c>
      <c r="H68" s="74"/>
    </row>
    <row r="69" spans="2:8" x14ac:dyDescent="0.35">
      <c r="B69" s="77"/>
      <c r="C69" s="77"/>
      <c r="D69" s="81" t="s">
        <v>3698</v>
      </c>
      <c r="E69" s="2"/>
      <c r="F69" s="62"/>
      <c r="G69" s="29"/>
    </row>
    <row r="70" spans="2:8" ht="29" outlineLevel="1" x14ac:dyDescent="0.35">
      <c r="B70" s="77"/>
      <c r="C70" s="77"/>
      <c r="D70" s="2" t="s">
        <v>3520</v>
      </c>
      <c r="E70" s="2" t="s">
        <v>223</v>
      </c>
      <c r="F70" s="62"/>
      <c r="G70" s="26" t="s">
        <v>341</v>
      </c>
    </row>
    <row r="71" spans="2:8" x14ac:dyDescent="0.35">
      <c r="B71" s="77"/>
      <c r="C71" s="77"/>
      <c r="D71" s="81" t="s">
        <v>3521</v>
      </c>
      <c r="E71" s="2"/>
      <c r="F71" s="62"/>
      <c r="G71" s="29"/>
    </row>
    <row r="72" spans="2:8" ht="29" outlineLevel="1" x14ac:dyDescent="0.35">
      <c r="B72" s="77"/>
      <c r="C72" s="77"/>
      <c r="D72" s="2" t="s">
        <v>176</v>
      </c>
      <c r="E72" s="2" t="s">
        <v>485</v>
      </c>
      <c r="F72" s="62"/>
      <c r="G72" s="26" t="s">
        <v>341</v>
      </c>
    </row>
    <row r="73" spans="2:8" outlineLevel="1" x14ac:dyDescent="0.35">
      <c r="B73" s="77"/>
      <c r="C73" s="77"/>
      <c r="D73" s="2" t="s">
        <v>177</v>
      </c>
      <c r="E73" s="2" t="s">
        <v>762</v>
      </c>
      <c r="F73" s="62"/>
      <c r="G73" s="26" t="s">
        <v>341</v>
      </c>
    </row>
    <row r="74" spans="2:8" ht="118" customHeight="1" outlineLevel="1" x14ac:dyDescent="0.35">
      <c r="B74" s="77"/>
      <c r="C74" s="77"/>
      <c r="D74" s="2" t="s">
        <v>178</v>
      </c>
      <c r="E74" s="2" t="s">
        <v>3944</v>
      </c>
      <c r="F74" s="62"/>
      <c r="G74" s="26" t="s">
        <v>341</v>
      </c>
    </row>
    <row r="75" spans="2:8" ht="43.5" outlineLevel="1" x14ac:dyDescent="0.35">
      <c r="B75" s="77"/>
      <c r="C75" s="77"/>
      <c r="D75" s="2" t="s">
        <v>449</v>
      </c>
      <c r="E75" s="2" t="s">
        <v>1470</v>
      </c>
      <c r="F75" s="62"/>
      <c r="G75" s="26" t="s">
        <v>341</v>
      </c>
    </row>
    <row r="76" spans="2:8" x14ac:dyDescent="0.35">
      <c r="B76" s="77"/>
      <c r="C76" s="77"/>
      <c r="D76" s="81" t="s">
        <v>179</v>
      </c>
      <c r="E76" s="2"/>
      <c r="F76" s="62"/>
      <c r="G76" s="29"/>
    </row>
    <row r="77" spans="2:8" ht="29" outlineLevel="1" x14ac:dyDescent="0.35">
      <c r="B77" s="77"/>
      <c r="C77" s="77"/>
      <c r="D77" s="2" t="s">
        <v>3522</v>
      </c>
      <c r="E77" s="2" t="s">
        <v>180</v>
      </c>
      <c r="F77" s="62"/>
      <c r="G77" s="26" t="s">
        <v>341</v>
      </c>
    </row>
    <row r="78" spans="2:8" ht="29" outlineLevel="1" x14ac:dyDescent="0.35">
      <c r="B78" s="77"/>
      <c r="C78" s="77"/>
      <c r="D78" s="2" t="s">
        <v>3523</v>
      </c>
      <c r="E78" s="2" t="s">
        <v>257</v>
      </c>
      <c r="F78" s="62"/>
      <c r="G78" s="26" t="s">
        <v>341</v>
      </c>
    </row>
    <row r="79" spans="2:8" x14ac:dyDescent="0.35">
      <c r="B79" s="77"/>
      <c r="C79" s="77"/>
      <c r="D79" s="81" t="s">
        <v>2765</v>
      </c>
      <c r="E79" s="2"/>
      <c r="F79" s="62"/>
      <c r="G79" s="29"/>
    </row>
    <row r="80" spans="2:8" ht="43.5" outlineLevel="1" x14ac:dyDescent="0.35">
      <c r="B80" s="77"/>
      <c r="C80" s="77"/>
      <c r="D80" s="2" t="s">
        <v>2766</v>
      </c>
      <c r="E80" s="2" t="s">
        <v>2769</v>
      </c>
      <c r="F80" s="62"/>
      <c r="G80" s="26" t="s">
        <v>341</v>
      </c>
    </row>
    <row r="81" spans="2:8" ht="58" outlineLevel="1" x14ac:dyDescent="0.35">
      <c r="B81" s="77"/>
      <c r="C81" s="77"/>
      <c r="D81" s="2" t="s">
        <v>2767</v>
      </c>
      <c r="E81" s="2" t="s">
        <v>2770</v>
      </c>
      <c r="F81" s="62"/>
      <c r="G81" s="26" t="s">
        <v>341</v>
      </c>
    </row>
    <row r="82" spans="2:8" ht="58" outlineLevel="1" x14ac:dyDescent="0.35">
      <c r="B82" s="77"/>
      <c r="C82" s="77"/>
      <c r="D82" s="2" t="s">
        <v>2768</v>
      </c>
      <c r="E82" s="2" t="s">
        <v>4206</v>
      </c>
      <c r="F82" s="62"/>
      <c r="G82" s="26" t="s">
        <v>341</v>
      </c>
    </row>
    <row r="83" spans="2:8" x14ac:dyDescent="0.35">
      <c r="B83" s="77"/>
      <c r="C83" s="77"/>
      <c r="D83" s="81" t="s">
        <v>2771</v>
      </c>
      <c r="E83" s="2"/>
      <c r="F83" s="62"/>
      <c r="G83" s="110"/>
    </row>
    <row r="84" spans="2:8" ht="29" outlineLevel="1" x14ac:dyDescent="0.35">
      <c r="B84" s="77"/>
      <c r="C84" s="77"/>
      <c r="D84" s="2" t="s">
        <v>33</v>
      </c>
      <c r="E84" s="2" t="s">
        <v>256</v>
      </c>
      <c r="F84" s="62"/>
      <c r="G84" s="26" t="s">
        <v>341</v>
      </c>
    </row>
    <row r="85" spans="2:8" x14ac:dyDescent="0.35">
      <c r="B85" s="77"/>
      <c r="C85" s="77"/>
      <c r="D85" s="81" t="s">
        <v>2772</v>
      </c>
      <c r="E85" s="2"/>
      <c r="F85" s="62"/>
      <c r="G85" s="29"/>
    </row>
    <row r="86" spans="2:8" ht="29" outlineLevel="1" x14ac:dyDescent="0.35">
      <c r="B86" s="77"/>
      <c r="C86" s="77"/>
      <c r="D86" s="2" t="s">
        <v>1831</v>
      </c>
      <c r="E86" s="2" t="s">
        <v>1830</v>
      </c>
      <c r="F86" s="62"/>
      <c r="G86" s="26" t="s">
        <v>341</v>
      </c>
    </row>
    <row r="87" spans="2:8" x14ac:dyDescent="0.35">
      <c r="B87" s="77"/>
      <c r="C87" s="77" t="s">
        <v>1808</v>
      </c>
      <c r="D87" s="2"/>
      <c r="E87" s="2"/>
      <c r="F87" s="62"/>
      <c r="G87" s="23">
        <f>COUNTIF(G88:G95,"Yes")</f>
        <v>4</v>
      </c>
      <c r="H87" s="74"/>
    </row>
    <row r="88" spans="2:8" x14ac:dyDescent="0.35">
      <c r="B88" s="77"/>
      <c r="C88" s="77"/>
      <c r="D88" s="81" t="s">
        <v>3524</v>
      </c>
      <c r="E88" s="2"/>
      <c r="F88" s="62"/>
      <c r="G88" s="29"/>
    </row>
    <row r="89" spans="2:8" ht="29" outlineLevel="1" x14ac:dyDescent="0.35">
      <c r="B89" s="77"/>
      <c r="C89" s="77"/>
      <c r="D89" s="2" t="s">
        <v>3525</v>
      </c>
      <c r="E89" s="2" t="s">
        <v>1842</v>
      </c>
      <c r="F89" s="62"/>
      <c r="G89" s="26" t="s">
        <v>341</v>
      </c>
    </row>
    <row r="90" spans="2:8" x14ac:dyDescent="0.35">
      <c r="B90" s="77"/>
      <c r="C90" s="77"/>
      <c r="D90" s="81" t="s">
        <v>3526</v>
      </c>
      <c r="E90" s="2"/>
      <c r="F90" s="62"/>
      <c r="G90" s="29"/>
    </row>
    <row r="91" spans="2:8" ht="29" outlineLevel="1" x14ac:dyDescent="0.35">
      <c r="B91" s="77"/>
      <c r="C91" s="77"/>
      <c r="D91" s="2" t="s">
        <v>1809</v>
      </c>
      <c r="E91" s="2" t="s">
        <v>1824</v>
      </c>
      <c r="F91" s="62"/>
      <c r="G91" s="26" t="s">
        <v>341</v>
      </c>
    </row>
    <row r="92" spans="2:8" x14ac:dyDescent="0.35">
      <c r="B92" s="77"/>
      <c r="C92" s="77"/>
      <c r="D92" s="81" t="s">
        <v>1825</v>
      </c>
      <c r="E92" s="2"/>
      <c r="F92" s="62"/>
      <c r="G92" s="29"/>
    </row>
    <row r="93" spans="2:8" ht="29" outlineLevel="1" x14ac:dyDescent="0.35">
      <c r="B93" s="77"/>
      <c r="C93" s="77"/>
      <c r="D93" s="2" t="s">
        <v>3527</v>
      </c>
      <c r="E93" s="2" t="s">
        <v>257</v>
      </c>
      <c r="F93" s="62"/>
      <c r="G93" s="26" t="s">
        <v>341</v>
      </c>
    </row>
    <row r="94" spans="2:8" x14ac:dyDescent="0.35">
      <c r="B94" s="77"/>
      <c r="C94" s="77"/>
      <c r="D94" s="81" t="s">
        <v>1826</v>
      </c>
      <c r="E94" s="2"/>
      <c r="F94" s="62"/>
      <c r="G94" s="29"/>
    </row>
    <row r="95" spans="2:8" ht="43.5" outlineLevel="1" x14ac:dyDescent="0.35">
      <c r="B95" s="77"/>
      <c r="C95" s="77"/>
      <c r="D95" s="2" t="s">
        <v>1827</v>
      </c>
      <c r="E95" s="2" t="s">
        <v>1828</v>
      </c>
      <c r="F95" s="62"/>
      <c r="G95" s="26" t="s">
        <v>341</v>
      </c>
    </row>
    <row r="96" spans="2:8" x14ac:dyDescent="0.35">
      <c r="B96" s="77"/>
      <c r="C96" s="77" t="s">
        <v>3545</v>
      </c>
      <c r="D96" s="2"/>
      <c r="E96" s="2"/>
      <c r="F96" s="62"/>
      <c r="G96" s="23">
        <f>COUNTIF(G97:G107,"Yes")</f>
        <v>7</v>
      </c>
      <c r="H96" s="74"/>
    </row>
    <row r="97" spans="2:8" x14ac:dyDescent="0.35">
      <c r="B97" s="77"/>
      <c r="C97" s="77"/>
      <c r="D97" s="81" t="s">
        <v>3699</v>
      </c>
      <c r="E97" s="2"/>
      <c r="F97" s="62"/>
      <c r="G97" s="29"/>
    </row>
    <row r="98" spans="2:8" ht="29" outlineLevel="1" x14ac:dyDescent="0.35">
      <c r="B98" s="77"/>
      <c r="C98" s="77"/>
      <c r="D98" s="2" t="s">
        <v>3546</v>
      </c>
      <c r="E98" s="2" t="s">
        <v>763</v>
      </c>
      <c r="F98" s="62"/>
      <c r="G98" s="26" t="s">
        <v>341</v>
      </c>
    </row>
    <row r="99" spans="2:8" x14ac:dyDescent="0.35">
      <c r="B99" s="77"/>
      <c r="C99" s="77"/>
      <c r="D99" s="81" t="s">
        <v>1810</v>
      </c>
      <c r="E99" s="2"/>
      <c r="F99" s="62"/>
      <c r="G99" s="29"/>
    </row>
    <row r="100" spans="2:8" outlineLevel="1" x14ac:dyDescent="0.35">
      <c r="B100" s="77"/>
      <c r="C100" s="77"/>
      <c r="D100" s="2" t="s">
        <v>3547</v>
      </c>
      <c r="E100" s="2" t="s">
        <v>1429</v>
      </c>
      <c r="F100" s="62"/>
      <c r="G100" s="26" t="s">
        <v>341</v>
      </c>
    </row>
    <row r="101" spans="2:8" ht="43.5" outlineLevel="1" x14ac:dyDescent="0.35">
      <c r="B101" s="77"/>
      <c r="C101" s="77"/>
      <c r="D101" s="2" t="s">
        <v>3772</v>
      </c>
      <c r="E101" s="2" t="s">
        <v>1217</v>
      </c>
      <c r="F101" s="62"/>
      <c r="G101" s="26" t="s">
        <v>341</v>
      </c>
    </row>
    <row r="102" spans="2:8" ht="87" outlineLevel="1" x14ac:dyDescent="0.35">
      <c r="B102" s="77"/>
      <c r="C102" s="77"/>
      <c r="D102" s="2" t="s">
        <v>3548</v>
      </c>
      <c r="E102" s="2" t="s">
        <v>4207</v>
      </c>
      <c r="F102" s="62"/>
      <c r="G102" s="26" t="s">
        <v>341</v>
      </c>
    </row>
    <row r="103" spans="2:8" x14ac:dyDescent="0.35">
      <c r="B103" s="77"/>
      <c r="C103" s="77"/>
      <c r="D103" s="81" t="s">
        <v>1811</v>
      </c>
      <c r="E103" s="2"/>
      <c r="F103" s="62"/>
      <c r="G103" s="29"/>
    </row>
    <row r="104" spans="2:8" ht="72.5" outlineLevel="1" x14ac:dyDescent="0.35">
      <c r="B104" s="77"/>
      <c r="C104" s="77"/>
      <c r="D104" s="2" t="s">
        <v>3549</v>
      </c>
      <c r="E104" s="2" t="s">
        <v>1654</v>
      </c>
      <c r="F104" s="62"/>
      <c r="G104" s="26" t="s">
        <v>341</v>
      </c>
    </row>
    <row r="105" spans="2:8" x14ac:dyDescent="0.35">
      <c r="B105" s="77"/>
      <c r="C105" s="77"/>
      <c r="D105" s="81" t="s">
        <v>1812</v>
      </c>
      <c r="E105" s="2"/>
      <c r="F105" s="62"/>
      <c r="G105" s="29"/>
    </row>
    <row r="106" spans="2:8" ht="58" outlineLevel="1" x14ac:dyDescent="0.35">
      <c r="B106" s="77"/>
      <c r="C106" s="77"/>
      <c r="D106" s="2" t="s">
        <v>3550</v>
      </c>
      <c r="E106" s="2" t="s">
        <v>764</v>
      </c>
      <c r="F106" s="62"/>
      <c r="G106" s="114" t="s">
        <v>341</v>
      </c>
    </row>
    <row r="107" spans="2:8" ht="28" customHeight="1" outlineLevel="1" x14ac:dyDescent="0.35">
      <c r="B107" s="77"/>
      <c r="C107" s="77"/>
      <c r="D107" s="2" t="s">
        <v>3551</v>
      </c>
      <c r="E107" s="2" t="s">
        <v>672</v>
      </c>
      <c r="F107" s="62"/>
      <c r="G107" s="114" t="s">
        <v>341</v>
      </c>
    </row>
    <row r="108" spans="2:8" x14ac:dyDescent="0.35">
      <c r="B108" s="77"/>
      <c r="C108" s="77" t="s">
        <v>1813</v>
      </c>
      <c r="D108" s="77"/>
      <c r="E108" s="2"/>
      <c r="F108" s="62"/>
      <c r="G108" s="23">
        <f>COUNTIF(G109:G112,"Yes")</f>
        <v>2</v>
      </c>
      <c r="H108" s="74"/>
    </row>
    <row r="109" spans="2:8" x14ac:dyDescent="0.35">
      <c r="B109" s="77"/>
      <c r="C109" s="77"/>
      <c r="D109" s="81" t="s">
        <v>643</v>
      </c>
      <c r="E109" s="2"/>
      <c r="F109" s="62"/>
      <c r="G109" s="29"/>
      <c r="H109" s="62"/>
    </row>
    <row r="110" spans="2:8" ht="58" outlineLevel="1" x14ac:dyDescent="0.35">
      <c r="B110" s="77"/>
      <c r="C110" s="77"/>
      <c r="D110" s="2" t="s">
        <v>450</v>
      </c>
      <c r="E110" s="2" t="s">
        <v>451</v>
      </c>
      <c r="F110" s="62"/>
      <c r="G110" s="114" t="s">
        <v>341</v>
      </c>
      <c r="H110" s="62"/>
    </row>
    <row r="111" spans="2:8" x14ac:dyDescent="0.35">
      <c r="B111" s="77"/>
      <c r="C111" s="77"/>
      <c r="D111" s="81" t="s">
        <v>1814</v>
      </c>
      <c r="E111" s="2"/>
      <c r="F111" s="62"/>
      <c r="G111" s="29"/>
      <c r="H111" s="62"/>
    </row>
    <row r="112" spans="2:8" ht="29" outlineLevel="1" x14ac:dyDescent="0.35">
      <c r="B112" s="77"/>
      <c r="C112" s="77"/>
      <c r="D112" s="2" t="s">
        <v>452</v>
      </c>
      <c r="E112" s="2" t="s">
        <v>453</v>
      </c>
      <c r="F112" s="62"/>
      <c r="G112" s="26" t="s">
        <v>341</v>
      </c>
      <c r="H112" s="62"/>
    </row>
    <row r="113" spans="2:8" ht="19.5" customHeight="1" x14ac:dyDescent="0.35">
      <c r="B113" s="77"/>
      <c r="C113" s="77" t="s">
        <v>1815</v>
      </c>
      <c r="D113" s="77"/>
      <c r="E113" s="2"/>
      <c r="F113" s="62"/>
      <c r="G113" s="23">
        <f>COUNTIF(G115:G119,"Yes")</f>
        <v>3</v>
      </c>
      <c r="H113" s="74"/>
    </row>
    <row r="114" spans="2:8" x14ac:dyDescent="0.35">
      <c r="B114" s="77"/>
      <c r="C114" s="77"/>
      <c r="D114" s="81" t="s">
        <v>1816</v>
      </c>
      <c r="E114" s="2"/>
      <c r="F114" s="62"/>
      <c r="G114" s="29"/>
      <c r="H114" s="62"/>
    </row>
    <row r="115" spans="2:8" ht="29" outlineLevel="1" x14ac:dyDescent="0.35">
      <c r="B115" s="77"/>
      <c r="C115" s="77"/>
      <c r="D115" s="2" t="s">
        <v>673</v>
      </c>
      <c r="E115" s="2" t="s">
        <v>644</v>
      </c>
      <c r="F115" s="62"/>
      <c r="G115" s="114" t="s">
        <v>341</v>
      </c>
      <c r="H115" s="62"/>
    </row>
    <row r="116" spans="2:8" x14ac:dyDescent="0.35">
      <c r="B116" s="77"/>
      <c r="C116" s="77"/>
      <c r="D116" s="81" t="s">
        <v>1817</v>
      </c>
      <c r="E116" s="2"/>
      <c r="F116" s="62"/>
      <c r="G116" s="29"/>
      <c r="H116" s="62"/>
    </row>
    <row r="117" spans="2:8" outlineLevel="1" x14ac:dyDescent="0.35">
      <c r="B117" s="77"/>
      <c r="C117" s="77"/>
      <c r="D117" s="2" t="s">
        <v>2827</v>
      </c>
      <c r="E117" s="2" t="s">
        <v>765</v>
      </c>
      <c r="F117" s="62"/>
      <c r="G117" s="26" t="s">
        <v>341</v>
      </c>
      <c r="H117" s="62"/>
    </row>
    <row r="118" spans="2:8" x14ac:dyDescent="0.35">
      <c r="B118" s="77"/>
      <c r="C118" s="77"/>
      <c r="D118" s="81" t="s">
        <v>1818</v>
      </c>
      <c r="E118" s="2"/>
      <c r="F118" s="62"/>
      <c r="G118" s="29"/>
      <c r="H118" s="62"/>
    </row>
    <row r="119" spans="2:8" outlineLevel="1" x14ac:dyDescent="0.35">
      <c r="B119" s="77"/>
      <c r="C119" s="77"/>
      <c r="D119" s="2" t="s">
        <v>645</v>
      </c>
      <c r="E119" s="2" t="s">
        <v>766</v>
      </c>
      <c r="F119" s="62"/>
      <c r="G119" s="26" t="s">
        <v>341</v>
      </c>
      <c r="H119" s="62"/>
    </row>
    <row r="120" spans="2:8" x14ac:dyDescent="0.35">
      <c r="B120" s="77"/>
      <c r="C120" s="77" t="s">
        <v>1819</v>
      </c>
      <c r="D120" s="77"/>
      <c r="E120" s="77"/>
      <c r="F120" s="62"/>
      <c r="G120" s="23">
        <f>COUNTIF(G121:G122,"Yes")</f>
        <v>1</v>
      </c>
      <c r="H120" s="62"/>
    </row>
    <row r="121" spans="2:8" x14ac:dyDescent="0.35">
      <c r="B121" s="77"/>
      <c r="C121" s="77"/>
      <c r="D121" s="81" t="s">
        <v>1820</v>
      </c>
      <c r="E121" s="77"/>
      <c r="F121" s="62"/>
      <c r="G121" s="77"/>
      <c r="H121" s="62"/>
    </row>
    <row r="122" spans="2:8" ht="29" outlineLevel="1" x14ac:dyDescent="0.35">
      <c r="B122" s="77"/>
      <c r="C122" s="77"/>
      <c r="D122" s="2" t="s">
        <v>2828</v>
      </c>
      <c r="E122" s="2" t="s">
        <v>851</v>
      </c>
      <c r="G122" s="26" t="s">
        <v>341</v>
      </c>
      <c r="H122" s="62"/>
    </row>
    <row r="123" spans="2:8" x14ac:dyDescent="0.35">
      <c r="B123" s="77"/>
      <c r="C123" s="77" t="s">
        <v>1821</v>
      </c>
      <c r="D123" s="77"/>
      <c r="E123" s="77"/>
      <c r="F123" s="62"/>
      <c r="G123" s="23">
        <f>COUNTIF(G124:G140,"Yes")</f>
        <v>15</v>
      </c>
      <c r="H123" s="62"/>
    </row>
    <row r="124" spans="2:8" x14ac:dyDescent="0.35">
      <c r="B124" s="77"/>
      <c r="C124" s="77"/>
      <c r="D124" s="81" t="s">
        <v>1822</v>
      </c>
      <c r="E124" s="77"/>
      <c r="F124" s="62"/>
      <c r="G124" s="77"/>
      <c r="H124" s="62"/>
    </row>
    <row r="125" spans="2:8" ht="43.5" outlineLevel="1" x14ac:dyDescent="0.35">
      <c r="B125" s="77"/>
      <c r="C125" s="77"/>
      <c r="D125" s="2" t="s">
        <v>3528</v>
      </c>
      <c r="E125" s="2" t="s">
        <v>1373</v>
      </c>
      <c r="F125" s="62"/>
      <c r="G125" s="26" t="s">
        <v>341</v>
      </c>
      <c r="H125" s="62"/>
    </row>
    <row r="126" spans="2:8" ht="31" customHeight="1" outlineLevel="1" x14ac:dyDescent="0.35">
      <c r="B126" s="77"/>
      <c r="C126" s="77"/>
      <c r="D126" s="2" t="s">
        <v>3529</v>
      </c>
      <c r="E126" s="2" t="s">
        <v>1699</v>
      </c>
      <c r="F126" s="62"/>
      <c r="G126" s="26" t="s">
        <v>341</v>
      </c>
      <c r="H126" s="62"/>
    </row>
    <row r="127" spans="2:8" ht="43.5" outlineLevel="1" x14ac:dyDescent="0.35">
      <c r="B127" s="77"/>
      <c r="C127" s="77"/>
      <c r="D127" s="2" t="s">
        <v>3530</v>
      </c>
      <c r="E127" s="2" t="s">
        <v>1374</v>
      </c>
      <c r="F127" s="62"/>
      <c r="G127" s="26" t="s">
        <v>341</v>
      </c>
      <c r="H127" s="62"/>
    </row>
    <row r="128" spans="2:8" ht="29" outlineLevel="1" x14ac:dyDescent="0.35">
      <c r="B128" s="77"/>
      <c r="C128" s="77"/>
      <c r="D128" s="2" t="s">
        <v>3531</v>
      </c>
      <c r="E128" s="2" t="s">
        <v>4009</v>
      </c>
      <c r="F128" s="62"/>
      <c r="G128" s="26" t="s">
        <v>341</v>
      </c>
      <c r="H128" s="62"/>
    </row>
    <row r="129" spans="2:8" ht="29" outlineLevel="1" x14ac:dyDescent="0.35">
      <c r="B129" s="77"/>
      <c r="C129" s="77"/>
      <c r="D129" s="2" t="s">
        <v>3532</v>
      </c>
      <c r="E129" s="2" t="s">
        <v>1702</v>
      </c>
      <c r="F129" s="62"/>
      <c r="G129" s="26" t="s">
        <v>341</v>
      </c>
      <c r="H129" s="62"/>
    </row>
    <row r="130" spans="2:8" ht="29" outlineLevel="1" x14ac:dyDescent="0.35">
      <c r="B130" s="77"/>
      <c r="C130" s="77"/>
      <c r="D130" s="2" t="s">
        <v>3552</v>
      </c>
      <c r="E130" s="2" t="s">
        <v>1725</v>
      </c>
      <c r="F130" s="62"/>
      <c r="G130" s="26" t="s">
        <v>341</v>
      </c>
      <c r="H130" s="62"/>
    </row>
    <row r="131" spans="2:8" x14ac:dyDescent="0.35">
      <c r="B131" s="77"/>
      <c r="C131" s="77"/>
      <c r="D131" s="81" t="s">
        <v>1823</v>
      </c>
      <c r="E131" s="77"/>
      <c r="F131" s="62"/>
      <c r="G131" s="77"/>
      <c r="H131" s="62"/>
    </row>
    <row r="132" spans="2:8" ht="133" customHeight="1" outlineLevel="1" x14ac:dyDescent="0.35">
      <c r="B132" s="77"/>
      <c r="C132" s="77"/>
      <c r="D132" s="2" t="s">
        <v>1370</v>
      </c>
      <c r="E132" s="2" t="s">
        <v>3108</v>
      </c>
      <c r="G132" s="26" t="s">
        <v>341</v>
      </c>
      <c r="H132" s="62"/>
    </row>
    <row r="133" spans="2:8" ht="58" outlineLevel="1" x14ac:dyDescent="0.35">
      <c r="B133" s="77"/>
      <c r="C133" s="77"/>
      <c r="D133" s="2" t="s">
        <v>1293</v>
      </c>
      <c r="E133" s="2" t="s">
        <v>1928</v>
      </c>
      <c r="F133" s="62"/>
      <c r="G133" s="26" t="s">
        <v>341</v>
      </c>
      <c r="H133" s="62"/>
    </row>
    <row r="134" spans="2:8" ht="29" outlineLevel="1" x14ac:dyDescent="0.35">
      <c r="B134" s="77"/>
      <c r="C134" s="77"/>
      <c r="D134" s="2" t="s">
        <v>1368</v>
      </c>
      <c r="E134" s="2" t="s">
        <v>1371</v>
      </c>
      <c r="F134" s="62"/>
      <c r="G134" s="26" t="s">
        <v>341</v>
      </c>
      <c r="H134" s="62"/>
    </row>
    <row r="135" spans="2:8" ht="31" customHeight="1" outlineLevel="1" x14ac:dyDescent="0.35">
      <c r="B135" s="77"/>
      <c r="C135" s="77"/>
      <c r="D135" s="2" t="s">
        <v>1369</v>
      </c>
      <c r="E135" s="2" t="s">
        <v>1372</v>
      </c>
      <c r="F135" s="62"/>
      <c r="G135" s="26" t="s">
        <v>341</v>
      </c>
      <c r="H135" s="62"/>
    </row>
    <row r="136" spans="2:8" ht="31" customHeight="1" outlineLevel="1" x14ac:dyDescent="0.35">
      <c r="B136" s="77"/>
      <c r="C136" s="77"/>
      <c r="D136" s="2" t="s">
        <v>1700</v>
      </c>
      <c r="E136" s="2" t="s">
        <v>1698</v>
      </c>
      <c r="F136" s="62"/>
      <c r="G136" s="26" t="s">
        <v>341</v>
      </c>
      <c r="H136" s="62"/>
    </row>
    <row r="137" spans="2:8" ht="29" outlineLevel="1" x14ac:dyDescent="0.35">
      <c r="B137" s="77"/>
      <c r="C137" s="77"/>
      <c r="D137" s="2" t="s">
        <v>1377</v>
      </c>
      <c r="E137" s="2" t="s">
        <v>1378</v>
      </c>
      <c r="F137" s="62"/>
      <c r="G137" s="26" t="s">
        <v>341</v>
      </c>
      <c r="H137" s="62"/>
    </row>
    <row r="138" spans="2:8" ht="29" outlineLevel="1" x14ac:dyDescent="0.35">
      <c r="B138" s="77"/>
      <c r="C138" s="77"/>
      <c r="D138" s="2" t="s">
        <v>1701</v>
      </c>
      <c r="E138" s="2" t="s">
        <v>1724</v>
      </c>
      <c r="F138" s="62"/>
      <c r="G138" s="26" t="s">
        <v>341</v>
      </c>
      <c r="H138" s="62"/>
    </row>
    <row r="139" spans="2:8" ht="29" outlineLevel="1" x14ac:dyDescent="0.35">
      <c r="B139" s="77"/>
      <c r="C139" s="77"/>
      <c r="D139" s="2" t="s">
        <v>1704</v>
      </c>
      <c r="E139" s="2" t="s">
        <v>1703</v>
      </c>
      <c r="F139" s="62"/>
      <c r="G139" s="26" t="s">
        <v>341</v>
      </c>
      <c r="H139" s="62"/>
    </row>
    <row r="140" spans="2:8" ht="43.5" outlineLevel="1" x14ac:dyDescent="0.35">
      <c r="B140" s="77"/>
      <c r="C140" s="77"/>
      <c r="D140" s="2" t="s">
        <v>3553</v>
      </c>
      <c r="E140" s="2" t="s">
        <v>3049</v>
      </c>
      <c r="F140" s="62"/>
      <c r="G140" s="26" t="s">
        <v>341</v>
      </c>
      <c r="H140" s="62"/>
    </row>
    <row r="141" spans="2:8" ht="29" x14ac:dyDescent="0.35">
      <c r="B141" s="77"/>
      <c r="C141" s="77" t="s">
        <v>5657</v>
      </c>
      <c r="D141" s="2"/>
      <c r="E141" s="2"/>
      <c r="F141" s="62"/>
      <c r="G141" s="23">
        <f>COUNTIF(G142:G143,"Yes")</f>
        <v>1</v>
      </c>
      <c r="H141" s="74"/>
    </row>
    <row r="142" spans="2:8" ht="29" outlineLevel="1" x14ac:dyDescent="0.35">
      <c r="B142" s="77"/>
      <c r="C142" s="77"/>
      <c r="D142" s="2" t="s">
        <v>5658</v>
      </c>
      <c r="E142" s="2" t="s">
        <v>5659</v>
      </c>
      <c r="F142" s="62"/>
      <c r="G142" s="26" t="s">
        <v>341</v>
      </c>
      <c r="H142" s="62"/>
    </row>
    <row r="143" spans="2:8" x14ac:dyDescent="0.35">
      <c r="G143" s="79"/>
      <c r="H143" s="62"/>
    </row>
    <row r="144" spans="2:8" x14ac:dyDescent="0.35">
      <c r="G144" s="79"/>
      <c r="H144" s="62"/>
    </row>
    <row r="145" spans="7:8" x14ac:dyDescent="0.35">
      <c r="G145" s="79"/>
      <c r="H145" s="62"/>
    </row>
    <row r="146" spans="7:8" x14ac:dyDescent="0.35">
      <c r="G146" s="79"/>
      <c r="H146" s="62"/>
    </row>
    <row r="147" spans="7:8" x14ac:dyDescent="0.35">
      <c r="G147" s="79"/>
      <c r="H147" s="62"/>
    </row>
    <row r="148" spans="7:8" x14ac:dyDescent="0.35">
      <c r="G148" s="79"/>
      <c r="H148" s="62"/>
    </row>
    <row r="149" spans="7:8" x14ac:dyDescent="0.35">
      <c r="G149" s="79"/>
      <c r="H149" s="62"/>
    </row>
    <row r="150" spans="7:8" x14ac:dyDescent="0.35">
      <c r="G150" s="79"/>
      <c r="H150" s="62"/>
    </row>
    <row r="151" spans="7:8" x14ac:dyDescent="0.35">
      <c r="G151" s="79"/>
      <c r="H151" s="62"/>
    </row>
    <row r="152" spans="7:8" x14ac:dyDescent="0.35">
      <c r="G152" s="79"/>
      <c r="H152" s="62"/>
    </row>
    <row r="153" spans="7:8" x14ac:dyDescent="0.35">
      <c r="G153" s="79"/>
      <c r="H153" s="62"/>
    </row>
    <row r="154" spans="7:8" x14ac:dyDescent="0.35">
      <c r="G154" s="79"/>
      <c r="H154" s="62"/>
    </row>
    <row r="155" spans="7:8" x14ac:dyDescent="0.35">
      <c r="G155" s="79"/>
      <c r="H155" s="62"/>
    </row>
    <row r="156" spans="7:8" x14ac:dyDescent="0.35">
      <c r="G156" s="79"/>
      <c r="H156" s="62"/>
    </row>
    <row r="157" spans="7:8" x14ac:dyDescent="0.35">
      <c r="G157" s="79"/>
      <c r="H157" s="62"/>
    </row>
    <row r="158" spans="7:8" x14ac:dyDescent="0.35">
      <c r="G158" s="79"/>
      <c r="H158" s="62"/>
    </row>
    <row r="159" spans="7:8" x14ac:dyDescent="0.35">
      <c r="G159" s="79"/>
      <c r="H159" s="62"/>
    </row>
    <row r="160" spans="7:8" x14ac:dyDescent="0.35">
      <c r="G160" s="79"/>
      <c r="H160" s="62"/>
    </row>
    <row r="161" spans="7:8" x14ac:dyDescent="0.35">
      <c r="G161" s="8"/>
      <c r="H161" s="62"/>
    </row>
    <row r="162" spans="7:8" x14ac:dyDescent="0.35">
      <c r="G162" s="115"/>
      <c r="H162" s="62"/>
    </row>
    <row r="163" spans="7:8" x14ac:dyDescent="0.35">
      <c r="G163" s="116"/>
      <c r="H163" s="62"/>
    </row>
    <row r="164" spans="7:8" x14ac:dyDescent="0.35">
      <c r="G164" s="8"/>
      <c r="H164" s="62"/>
    </row>
    <row r="165" spans="7:8" x14ac:dyDescent="0.35">
      <c r="G165" s="116"/>
      <c r="H165" s="62"/>
    </row>
    <row r="166" spans="7:8" x14ac:dyDescent="0.35">
      <c r="G166" s="8"/>
      <c r="H166" s="62"/>
    </row>
    <row r="167" spans="7:8" x14ac:dyDescent="0.35">
      <c r="G167" s="8"/>
      <c r="H167" s="62"/>
    </row>
    <row r="168" spans="7:8" x14ac:dyDescent="0.35">
      <c r="G168" s="116"/>
      <c r="H168" s="62"/>
    </row>
    <row r="169" spans="7:8" x14ac:dyDescent="0.35">
      <c r="G169" s="8"/>
      <c r="H169" s="62"/>
    </row>
    <row r="170" spans="7:8" x14ac:dyDescent="0.35">
      <c r="G170" s="8"/>
      <c r="H170" s="62"/>
    </row>
    <row r="171" spans="7:8" x14ac:dyDescent="0.35">
      <c r="G171" s="90"/>
      <c r="H171" s="62"/>
    </row>
    <row r="172" spans="7:8" x14ac:dyDescent="0.35">
      <c r="G172" s="90"/>
      <c r="H172" s="62"/>
    </row>
    <row r="173" spans="7:8" x14ac:dyDescent="0.35">
      <c r="G173" s="90"/>
      <c r="H173" s="62"/>
    </row>
    <row r="174" spans="7:8" x14ac:dyDescent="0.35">
      <c r="G174" s="90"/>
      <c r="H174" s="62"/>
    </row>
  </sheetData>
  <sortState xmlns:xlrd2="http://schemas.microsoft.com/office/spreadsheetml/2017/richdata2" ref="B118:H122">
    <sortCondition ref="D118"/>
  </sortState>
  <mergeCells count="3">
    <mergeCell ref="B6:D6"/>
    <mergeCell ref="B2:B4"/>
    <mergeCell ref="G3:G4"/>
  </mergeCells>
  <dataValidations count="1">
    <dataValidation type="list" allowBlank="1" showInputMessage="1" showErrorMessage="1" sqref="G166:G167 G164 G122 G34:G37 G30:G32 G132:G140 G169:G170 G86 G100:G102 G106:G107 G66:G67 G98 G104 G110 G11 G13 G15 G17:G22 G70 G62 G60 G54 G52 G50 G46:G47 G42 G40 G125:G130 G27:G28 G44 G25 G72:G75 G64 G56:G57 G112 G115 G117 G119 G161 G95 G93 G91 G89 G84 G77:G82 G142" xr:uid="{00000000-0002-0000-0600-000000000000}">
      <formula1>"Yes, No"</formula1>
    </dataValidation>
  </dataValidations>
  <pageMargins left="0.7" right="0.7" top="0.75" bottom="0.75" header="0.3" footer="0.3"/>
  <pageSetup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293276"/>
  </sheetPr>
  <dimension ref="B1:H399"/>
  <sheetViews>
    <sheetView showGridLines="0" zoomScale="80" zoomScaleNormal="80" workbookViewId="0">
      <selection activeCell="C2" sqref="C2"/>
    </sheetView>
  </sheetViews>
  <sheetFormatPr defaultColWidth="9.1796875" defaultRowHeight="14.5" outlineLevelRow="1" x14ac:dyDescent="0.35"/>
  <cols>
    <col min="1" max="1" width="2.1796875" style="79" customWidth="1"/>
    <col min="2" max="3" width="30.6328125" style="79" customWidth="1"/>
    <col min="4" max="4" width="50.6328125" style="96" customWidth="1"/>
    <col min="5" max="5" width="76.6328125" style="96" customWidth="1"/>
    <col min="6" max="6" width="2.1796875" style="79" customWidth="1"/>
    <col min="7" max="7" width="9.1796875" style="98"/>
    <col min="8" max="16384" width="9.1796875" style="79"/>
  </cols>
  <sheetData>
    <row r="1" spans="2:8" s="58" customFormat="1" ht="18.5" customHeight="1" x14ac:dyDescent="0.5">
      <c r="B1" s="61"/>
      <c r="C1" s="69"/>
      <c r="D1" s="99"/>
      <c r="E1" s="100"/>
      <c r="G1" s="9"/>
    </row>
    <row r="2" spans="2:8" s="58" customFormat="1" x14ac:dyDescent="0.35">
      <c r="B2" s="194"/>
      <c r="C2" s="173"/>
      <c r="D2" s="101" t="s">
        <v>41</v>
      </c>
      <c r="E2" s="15" t="s">
        <v>80</v>
      </c>
      <c r="G2" s="13" t="s">
        <v>342</v>
      </c>
    </row>
    <row r="3" spans="2:8" s="58" customFormat="1" x14ac:dyDescent="0.35">
      <c r="B3" s="194"/>
      <c r="C3" s="155"/>
      <c r="D3" s="101" t="s">
        <v>226</v>
      </c>
      <c r="E3" s="11">
        <f>COUNTIF(E8:E399,"*")</f>
        <v>319</v>
      </c>
      <c r="G3" s="185">
        <f>COUNTIF(G8:G399,"Yes")</f>
        <v>319</v>
      </c>
    </row>
    <row r="4" spans="2:8" s="58" customFormat="1" x14ac:dyDescent="0.35">
      <c r="B4" s="194"/>
      <c r="C4" s="155"/>
      <c r="D4" s="101" t="s">
        <v>79</v>
      </c>
      <c r="E4" s="15" t="str">
        <f>'(4) Treasury Processes'!E4</f>
        <v>R25 Model Bank</v>
      </c>
      <c r="G4" s="186"/>
    </row>
    <row r="5" spans="2:8" ht="18.5" customHeight="1" x14ac:dyDescent="0.35">
      <c r="G5" s="9"/>
    </row>
    <row r="6" spans="2:8" x14ac:dyDescent="0.35">
      <c r="B6" s="197"/>
      <c r="C6" s="198"/>
      <c r="D6" s="198"/>
      <c r="E6" s="117"/>
      <c r="G6" s="18" t="s">
        <v>340</v>
      </c>
      <c r="H6" s="74"/>
    </row>
    <row r="7" spans="2:8" x14ac:dyDescent="0.35">
      <c r="B7" s="75" t="s">
        <v>83</v>
      </c>
      <c r="C7" s="75" t="s">
        <v>86</v>
      </c>
      <c r="D7" s="75" t="s">
        <v>87</v>
      </c>
      <c r="E7" s="75" t="s">
        <v>54</v>
      </c>
      <c r="G7" s="76" t="s">
        <v>342</v>
      </c>
    </row>
    <row r="8" spans="2:8" ht="29" x14ac:dyDescent="0.35">
      <c r="B8" s="84" t="s">
        <v>852</v>
      </c>
      <c r="C8" s="84" t="s">
        <v>904</v>
      </c>
      <c r="D8" s="2"/>
      <c r="E8" s="2"/>
      <c r="G8" s="29"/>
    </row>
    <row r="9" spans="2:8" ht="29" x14ac:dyDescent="0.35">
      <c r="B9" s="77"/>
      <c r="C9" s="84" t="s">
        <v>650</v>
      </c>
      <c r="D9" s="2"/>
      <c r="E9" s="2"/>
      <c r="G9" s="23">
        <f>COUNTIF(G11:G41,"Yes")</f>
        <v>22</v>
      </c>
      <c r="H9" s="74"/>
    </row>
    <row r="10" spans="2:8" x14ac:dyDescent="0.35">
      <c r="B10" s="77"/>
      <c r="C10" s="77"/>
      <c r="D10" s="75" t="s">
        <v>2900</v>
      </c>
      <c r="E10" s="2"/>
      <c r="G10" s="29"/>
    </row>
    <row r="11" spans="2:8" ht="58" outlineLevel="1" x14ac:dyDescent="0.35">
      <c r="B11" s="2"/>
      <c r="C11" s="2"/>
      <c r="D11" s="2" t="s">
        <v>19</v>
      </c>
      <c r="E11" s="2" t="s">
        <v>767</v>
      </c>
      <c r="F11" s="62"/>
      <c r="G11" s="26" t="s">
        <v>341</v>
      </c>
    </row>
    <row r="12" spans="2:8" x14ac:dyDescent="0.35">
      <c r="B12" s="2"/>
      <c r="C12" s="2"/>
      <c r="D12" s="75" t="s">
        <v>3583</v>
      </c>
      <c r="E12" s="2"/>
      <c r="F12" s="62"/>
      <c r="G12" s="29"/>
    </row>
    <row r="13" spans="2:8" ht="29" outlineLevel="1" x14ac:dyDescent="0.35">
      <c r="B13" s="2"/>
      <c r="C13" s="2"/>
      <c r="D13" s="2" t="s">
        <v>20</v>
      </c>
      <c r="E13" s="2" t="s">
        <v>3969</v>
      </c>
      <c r="F13" s="62"/>
      <c r="G13" s="26" t="s">
        <v>341</v>
      </c>
    </row>
    <row r="14" spans="2:8" ht="29" outlineLevel="1" x14ac:dyDescent="0.35">
      <c r="B14" s="2"/>
      <c r="C14" s="2"/>
      <c r="D14" s="2" t="s">
        <v>3584</v>
      </c>
      <c r="E14" s="2" t="s">
        <v>768</v>
      </c>
      <c r="F14" s="62"/>
      <c r="G14" s="26" t="s">
        <v>341</v>
      </c>
    </row>
    <row r="15" spans="2:8" ht="29" outlineLevel="1" x14ac:dyDescent="0.35">
      <c r="B15" s="2"/>
      <c r="C15" s="2"/>
      <c r="D15" s="2" t="s">
        <v>539</v>
      </c>
      <c r="E15" s="2" t="s">
        <v>4036</v>
      </c>
      <c r="F15" s="62"/>
      <c r="G15" s="26" t="s">
        <v>341</v>
      </c>
    </row>
    <row r="16" spans="2:8" x14ac:dyDescent="0.35">
      <c r="B16" s="2"/>
      <c r="C16" s="2"/>
      <c r="D16" s="75" t="s">
        <v>182</v>
      </c>
      <c r="E16" s="2"/>
      <c r="F16" s="62"/>
      <c r="G16" s="29"/>
    </row>
    <row r="17" spans="2:7" outlineLevel="1" x14ac:dyDescent="0.35">
      <c r="B17" s="2"/>
      <c r="C17" s="2"/>
      <c r="D17" s="2" t="s">
        <v>183</v>
      </c>
      <c r="E17" s="2" t="s">
        <v>184</v>
      </c>
      <c r="F17" s="62"/>
      <c r="G17" s="26" t="s">
        <v>341</v>
      </c>
    </row>
    <row r="18" spans="2:7" ht="29" outlineLevel="1" x14ac:dyDescent="0.35">
      <c r="B18" s="2"/>
      <c r="C18" s="2"/>
      <c r="D18" s="2" t="s">
        <v>541</v>
      </c>
      <c r="E18" s="2" t="s">
        <v>540</v>
      </c>
      <c r="F18" s="62"/>
      <c r="G18" s="26" t="s">
        <v>341</v>
      </c>
    </row>
    <row r="19" spans="2:7" ht="58" outlineLevel="1" x14ac:dyDescent="0.35">
      <c r="B19" s="2"/>
      <c r="C19" s="2"/>
      <c r="D19" s="2" t="s">
        <v>905</v>
      </c>
      <c r="E19" s="2" t="s">
        <v>586</v>
      </c>
      <c r="F19" s="62"/>
      <c r="G19" s="26" t="s">
        <v>341</v>
      </c>
    </row>
    <row r="20" spans="2:7" ht="29" outlineLevel="1" x14ac:dyDescent="0.35">
      <c r="B20" s="2"/>
      <c r="C20" s="2"/>
      <c r="D20" s="2" t="s">
        <v>21</v>
      </c>
      <c r="E20" s="2" t="s">
        <v>769</v>
      </c>
      <c r="F20" s="62"/>
      <c r="G20" s="26" t="s">
        <v>341</v>
      </c>
    </row>
    <row r="21" spans="2:7" ht="43.5" outlineLevel="1" x14ac:dyDescent="0.35">
      <c r="B21" s="2"/>
      <c r="C21" s="2"/>
      <c r="D21" s="2" t="s">
        <v>22</v>
      </c>
      <c r="E21" s="2" t="s">
        <v>1477</v>
      </c>
      <c r="F21" s="62"/>
      <c r="G21" s="26" t="s">
        <v>341</v>
      </c>
    </row>
    <row r="22" spans="2:7" x14ac:dyDescent="0.35">
      <c r="B22" s="2"/>
      <c r="C22" s="2"/>
      <c r="D22" s="75" t="s">
        <v>3585</v>
      </c>
      <c r="E22" s="2"/>
      <c r="F22" s="62"/>
      <c r="G22" s="29"/>
    </row>
    <row r="23" spans="2:7" ht="58" outlineLevel="1" x14ac:dyDescent="0.35">
      <c r="B23" s="2"/>
      <c r="C23" s="2"/>
      <c r="D23" s="2" t="s">
        <v>23</v>
      </c>
      <c r="E23" s="2" t="s">
        <v>770</v>
      </c>
      <c r="F23" s="62"/>
      <c r="G23" s="26" t="s">
        <v>341</v>
      </c>
    </row>
    <row r="24" spans="2:7" ht="102" customHeight="1" outlineLevel="1" x14ac:dyDescent="0.35">
      <c r="B24" s="2"/>
      <c r="C24" s="2"/>
      <c r="D24" s="2" t="s">
        <v>636</v>
      </c>
      <c r="E24" s="2" t="s">
        <v>4004</v>
      </c>
      <c r="F24" s="62"/>
      <c r="G24" s="26" t="s">
        <v>341</v>
      </c>
    </row>
    <row r="25" spans="2:7" ht="43.5" outlineLevel="1" x14ac:dyDescent="0.35">
      <c r="B25" s="2"/>
      <c r="C25" s="2"/>
      <c r="D25" s="2" t="s">
        <v>24</v>
      </c>
      <c r="E25" s="2" t="s">
        <v>587</v>
      </c>
      <c r="F25" s="62"/>
      <c r="G25" s="26" t="s">
        <v>341</v>
      </c>
    </row>
    <row r="26" spans="2:7" ht="29" outlineLevel="1" x14ac:dyDescent="0.35">
      <c r="B26" s="2"/>
      <c r="C26" s="2"/>
      <c r="D26" s="2" t="s">
        <v>25</v>
      </c>
      <c r="E26" s="2" t="s">
        <v>588</v>
      </c>
      <c r="F26" s="62"/>
      <c r="G26" s="26" t="s">
        <v>341</v>
      </c>
    </row>
    <row r="27" spans="2:7" x14ac:dyDescent="0.35">
      <c r="B27" s="2"/>
      <c r="C27" s="2"/>
      <c r="D27" s="75" t="s">
        <v>185</v>
      </c>
      <c r="E27" s="2"/>
      <c r="F27" s="62"/>
      <c r="G27" s="29"/>
    </row>
    <row r="28" spans="2:7" ht="58" outlineLevel="1" x14ac:dyDescent="0.35">
      <c r="B28" s="2"/>
      <c r="C28" s="2"/>
      <c r="D28" s="2" t="s">
        <v>379</v>
      </c>
      <c r="E28" s="2" t="s">
        <v>589</v>
      </c>
      <c r="F28" s="62"/>
      <c r="G28" s="26" t="s">
        <v>341</v>
      </c>
    </row>
    <row r="29" spans="2:7" ht="130.5" outlineLevel="1" x14ac:dyDescent="0.35">
      <c r="B29" s="2"/>
      <c r="C29" s="2"/>
      <c r="D29" s="2" t="s">
        <v>380</v>
      </c>
      <c r="E29" s="2" t="s">
        <v>771</v>
      </c>
      <c r="F29" s="62"/>
      <c r="G29" s="26" t="s">
        <v>341</v>
      </c>
    </row>
    <row r="30" spans="2:7" x14ac:dyDescent="0.35">
      <c r="B30" s="2"/>
      <c r="C30" s="2"/>
      <c r="D30" s="75" t="s">
        <v>1675</v>
      </c>
      <c r="E30" s="2"/>
      <c r="F30" s="62"/>
      <c r="G30" s="29"/>
    </row>
    <row r="31" spans="2:7" ht="58" customHeight="1" outlineLevel="1" x14ac:dyDescent="0.35">
      <c r="B31" s="2"/>
      <c r="C31" s="2"/>
      <c r="D31" s="2" t="s">
        <v>186</v>
      </c>
      <c r="E31" s="2" t="s">
        <v>542</v>
      </c>
      <c r="F31" s="62"/>
      <c r="G31" s="26" t="s">
        <v>341</v>
      </c>
    </row>
    <row r="32" spans="2:7" x14ac:dyDescent="0.35">
      <c r="B32" s="2"/>
      <c r="C32" s="2"/>
      <c r="D32" s="75" t="s">
        <v>187</v>
      </c>
      <c r="E32" s="2"/>
      <c r="F32" s="62"/>
      <c r="G32" s="88"/>
    </row>
    <row r="33" spans="2:8" ht="29" outlineLevel="1" x14ac:dyDescent="0.35">
      <c r="B33" s="2"/>
      <c r="C33" s="2"/>
      <c r="D33" s="2" t="s">
        <v>188</v>
      </c>
      <c r="E33" s="2" t="s">
        <v>590</v>
      </c>
      <c r="F33" s="62"/>
      <c r="G33" s="26" t="s">
        <v>341</v>
      </c>
    </row>
    <row r="34" spans="2:8" ht="58" outlineLevel="1" x14ac:dyDescent="0.35">
      <c r="B34" s="2"/>
      <c r="C34" s="2"/>
      <c r="D34" s="2" t="s">
        <v>189</v>
      </c>
      <c r="E34" s="2" t="s">
        <v>1885</v>
      </c>
      <c r="F34" s="62"/>
      <c r="G34" s="26" t="s">
        <v>341</v>
      </c>
    </row>
    <row r="35" spans="2:8" ht="43.5" outlineLevel="1" x14ac:dyDescent="0.35">
      <c r="B35" s="2"/>
      <c r="C35" s="2"/>
      <c r="D35" s="2" t="s">
        <v>190</v>
      </c>
      <c r="E35" s="2" t="s">
        <v>1887</v>
      </c>
      <c r="F35" s="62"/>
      <c r="G35" s="26" t="s">
        <v>341</v>
      </c>
    </row>
    <row r="36" spans="2:8" x14ac:dyDescent="0.35">
      <c r="B36" s="2"/>
      <c r="C36" s="2"/>
      <c r="D36" s="75" t="s">
        <v>191</v>
      </c>
      <c r="E36" s="2"/>
      <c r="F36" s="62"/>
      <c r="G36" s="29"/>
    </row>
    <row r="37" spans="2:8" ht="43.5" outlineLevel="1" x14ac:dyDescent="0.35">
      <c r="B37" s="2"/>
      <c r="C37" s="2"/>
      <c r="D37" s="2" t="s">
        <v>26</v>
      </c>
      <c r="E37" s="2" t="s">
        <v>591</v>
      </c>
      <c r="F37" s="62"/>
      <c r="G37" s="26" t="s">
        <v>341</v>
      </c>
    </row>
    <row r="38" spans="2:8" x14ac:dyDescent="0.35">
      <c r="B38" s="2"/>
      <c r="C38" s="2"/>
      <c r="D38" s="75" t="s">
        <v>192</v>
      </c>
      <c r="E38" s="2"/>
      <c r="F38" s="62"/>
      <c r="G38" s="29"/>
    </row>
    <row r="39" spans="2:8" ht="29" outlineLevel="1" x14ac:dyDescent="0.35">
      <c r="B39" s="2"/>
      <c r="C39" s="2"/>
      <c r="D39" s="2" t="s">
        <v>384</v>
      </c>
      <c r="E39" s="2" t="s">
        <v>772</v>
      </c>
      <c r="F39" s="62"/>
      <c r="G39" s="26" t="s">
        <v>341</v>
      </c>
    </row>
    <row r="40" spans="2:8" x14ac:dyDescent="0.35">
      <c r="B40" s="2"/>
      <c r="C40" s="2"/>
      <c r="D40" s="75" t="s">
        <v>193</v>
      </c>
      <c r="E40" s="2"/>
      <c r="F40" s="62"/>
      <c r="G40" s="29"/>
    </row>
    <row r="41" spans="2:8" ht="29" outlineLevel="1" x14ac:dyDescent="0.35">
      <c r="B41" s="2"/>
      <c r="C41" s="2"/>
      <c r="D41" s="2" t="s">
        <v>77</v>
      </c>
      <c r="E41" s="2" t="s">
        <v>3000</v>
      </c>
      <c r="F41" s="62"/>
      <c r="G41" s="26" t="s">
        <v>341</v>
      </c>
    </row>
    <row r="42" spans="2:8" x14ac:dyDescent="0.35">
      <c r="B42" s="2"/>
      <c r="C42" s="77" t="s">
        <v>906</v>
      </c>
      <c r="D42" s="2"/>
      <c r="E42" s="2"/>
      <c r="F42" s="62"/>
      <c r="G42" s="29"/>
    </row>
    <row r="43" spans="2:8" x14ac:dyDescent="0.35">
      <c r="B43" s="2"/>
      <c r="C43" s="77" t="s">
        <v>194</v>
      </c>
      <c r="D43" s="2"/>
      <c r="E43" s="2"/>
      <c r="F43" s="62"/>
      <c r="G43" s="23">
        <f>COUNTIF(G46:G138,"Yes")</f>
        <v>82</v>
      </c>
      <c r="H43" s="74"/>
    </row>
    <row r="44" spans="2:8" x14ac:dyDescent="0.35">
      <c r="B44" s="2"/>
      <c r="C44" s="2"/>
      <c r="D44" s="75" t="s">
        <v>3586</v>
      </c>
      <c r="E44" s="2"/>
      <c r="F44" s="62"/>
      <c r="G44" s="29"/>
    </row>
    <row r="45" spans="2:8" outlineLevel="1" x14ac:dyDescent="0.35">
      <c r="B45" s="2"/>
      <c r="C45" s="2"/>
      <c r="D45" s="75" t="s">
        <v>1843</v>
      </c>
      <c r="E45" s="2"/>
      <c r="F45" s="62"/>
      <c r="G45" s="29"/>
    </row>
    <row r="46" spans="2:8" ht="87" outlineLevel="1" x14ac:dyDescent="0.35">
      <c r="B46" s="2"/>
      <c r="C46" s="2"/>
      <c r="D46" s="2" t="s">
        <v>3587</v>
      </c>
      <c r="E46" s="2" t="s">
        <v>288</v>
      </c>
      <c r="F46" s="62"/>
      <c r="G46" s="26" t="s">
        <v>341</v>
      </c>
    </row>
    <row r="47" spans="2:8" outlineLevel="1" x14ac:dyDescent="0.35">
      <c r="B47" s="2"/>
      <c r="C47" s="2"/>
      <c r="D47" s="75" t="s">
        <v>1844</v>
      </c>
      <c r="E47" s="2"/>
      <c r="F47" s="62"/>
      <c r="G47" s="29"/>
    </row>
    <row r="48" spans="2:8" ht="87" outlineLevel="1" x14ac:dyDescent="0.35">
      <c r="B48" s="2"/>
      <c r="C48" s="2"/>
      <c r="D48" s="2" t="s">
        <v>853</v>
      </c>
      <c r="E48" s="2" t="s">
        <v>1657</v>
      </c>
      <c r="F48" s="62"/>
      <c r="G48" s="26" t="s">
        <v>341</v>
      </c>
    </row>
    <row r="49" spans="2:7" ht="72.5" outlineLevel="1" x14ac:dyDescent="0.35">
      <c r="B49" s="2"/>
      <c r="C49" s="2"/>
      <c r="D49" s="2" t="s">
        <v>898</v>
      </c>
      <c r="E49" s="2" t="s">
        <v>1893</v>
      </c>
      <c r="F49" s="62"/>
      <c r="G49" s="26" t="s">
        <v>341</v>
      </c>
    </row>
    <row r="50" spans="2:7" ht="29" outlineLevel="1" x14ac:dyDescent="0.35">
      <c r="B50" s="2"/>
      <c r="C50" s="2"/>
      <c r="D50" s="2" t="s">
        <v>381</v>
      </c>
      <c r="E50" s="2" t="s">
        <v>1897</v>
      </c>
      <c r="F50" s="62"/>
      <c r="G50" s="26" t="s">
        <v>341</v>
      </c>
    </row>
    <row r="51" spans="2:7" ht="29" outlineLevel="1" x14ac:dyDescent="0.35">
      <c r="B51" s="2"/>
      <c r="C51" s="2"/>
      <c r="D51" s="2" t="s">
        <v>382</v>
      </c>
      <c r="E51" s="2" t="s">
        <v>1898</v>
      </c>
      <c r="F51" s="62"/>
      <c r="G51" s="26" t="s">
        <v>341</v>
      </c>
    </row>
    <row r="52" spans="2:7" outlineLevel="1" x14ac:dyDescent="0.35">
      <c r="B52" s="2"/>
      <c r="C52" s="2"/>
      <c r="D52" s="75" t="s">
        <v>1845</v>
      </c>
      <c r="E52" s="2"/>
      <c r="F52" s="62"/>
      <c r="G52" s="29"/>
    </row>
    <row r="53" spans="2:7" ht="104" customHeight="1" outlineLevel="1" x14ac:dyDescent="0.35">
      <c r="B53" s="2"/>
      <c r="C53" s="2"/>
      <c r="D53" s="2" t="s">
        <v>1601</v>
      </c>
      <c r="E53" s="2" t="s">
        <v>4648</v>
      </c>
      <c r="F53" s="62"/>
      <c r="G53" s="26" t="s">
        <v>341</v>
      </c>
    </row>
    <row r="54" spans="2:7" ht="87" outlineLevel="1" x14ac:dyDescent="0.35">
      <c r="B54" s="2"/>
      <c r="C54" s="2"/>
      <c r="D54" s="2" t="s">
        <v>1565</v>
      </c>
      <c r="E54" s="2" t="s">
        <v>4649</v>
      </c>
      <c r="F54" s="62"/>
      <c r="G54" s="26" t="s">
        <v>341</v>
      </c>
    </row>
    <row r="55" spans="2:7" ht="43.5" outlineLevel="1" x14ac:dyDescent="0.35">
      <c r="B55" s="2"/>
      <c r="C55" s="2"/>
      <c r="D55" s="2" t="s">
        <v>1566</v>
      </c>
      <c r="E55" s="2" t="s">
        <v>1602</v>
      </c>
      <c r="F55" s="62"/>
      <c r="G55" s="26" t="s">
        <v>341</v>
      </c>
    </row>
    <row r="56" spans="2:7" ht="87" outlineLevel="1" x14ac:dyDescent="0.35">
      <c r="B56" s="2"/>
      <c r="C56" s="2"/>
      <c r="D56" s="2" t="s">
        <v>1383</v>
      </c>
      <c r="E56" s="2" t="s">
        <v>4650</v>
      </c>
      <c r="F56" s="62"/>
      <c r="G56" s="26" t="s">
        <v>341</v>
      </c>
    </row>
    <row r="57" spans="2:7" ht="43.5" outlineLevel="1" x14ac:dyDescent="0.35">
      <c r="B57" s="2"/>
      <c r="C57" s="2"/>
      <c r="D57" s="2" t="s">
        <v>1558</v>
      </c>
      <c r="E57" s="2" t="s">
        <v>1546</v>
      </c>
      <c r="F57" s="62"/>
      <c r="G57" s="26" t="s">
        <v>341</v>
      </c>
    </row>
    <row r="58" spans="2:7" ht="72.5" outlineLevel="1" x14ac:dyDescent="0.35">
      <c r="B58" s="2"/>
      <c r="C58" s="2"/>
      <c r="D58" s="2" t="s">
        <v>4640</v>
      </c>
      <c r="E58" s="2" t="s">
        <v>4641</v>
      </c>
      <c r="F58" s="62"/>
      <c r="G58" s="26" t="s">
        <v>341</v>
      </c>
    </row>
    <row r="59" spans="2:7" ht="58" outlineLevel="1" x14ac:dyDescent="0.35">
      <c r="B59" s="2"/>
      <c r="C59" s="2"/>
      <c r="D59" s="2" t="s">
        <v>1567</v>
      </c>
      <c r="E59" s="2" t="s">
        <v>1603</v>
      </c>
      <c r="F59" s="62"/>
      <c r="G59" s="26" t="s">
        <v>341</v>
      </c>
    </row>
    <row r="60" spans="2:7" outlineLevel="1" x14ac:dyDescent="0.35">
      <c r="B60" s="2"/>
      <c r="C60" s="2"/>
      <c r="D60" s="75" t="s">
        <v>1846</v>
      </c>
      <c r="E60" s="2"/>
      <c r="F60" s="62"/>
      <c r="G60" s="29"/>
    </row>
    <row r="61" spans="2:7" ht="29" outlineLevel="1" x14ac:dyDescent="0.35">
      <c r="B61" s="2"/>
      <c r="C61" s="2"/>
      <c r="D61" s="2" t="s">
        <v>3554</v>
      </c>
      <c r="E61" s="2" t="s">
        <v>195</v>
      </c>
      <c r="F61" s="62"/>
      <c r="G61" s="26" t="s">
        <v>341</v>
      </c>
    </row>
    <row r="62" spans="2:7" ht="58" outlineLevel="1" x14ac:dyDescent="0.35">
      <c r="B62" s="2"/>
      <c r="C62" s="2"/>
      <c r="D62" s="2" t="s">
        <v>3588</v>
      </c>
      <c r="E62" s="2" t="s">
        <v>773</v>
      </c>
      <c r="F62" s="62"/>
      <c r="G62" s="26" t="s">
        <v>341</v>
      </c>
    </row>
    <row r="63" spans="2:7" ht="130.5" outlineLevel="1" x14ac:dyDescent="0.35">
      <c r="B63" s="2"/>
      <c r="C63" s="2"/>
      <c r="D63" s="2" t="s">
        <v>3589</v>
      </c>
      <c r="E63" s="2" t="s">
        <v>3901</v>
      </c>
      <c r="F63" s="62"/>
      <c r="G63" s="26" t="s">
        <v>341</v>
      </c>
    </row>
    <row r="64" spans="2:7" ht="72.5" outlineLevel="1" x14ac:dyDescent="0.35">
      <c r="B64" s="2"/>
      <c r="C64" s="2"/>
      <c r="D64" s="2" t="s">
        <v>674</v>
      </c>
      <c r="E64" s="2" t="s">
        <v>3930</v>
      </c>
      <c r="F64" s="62"/>
      <c r="G64" s="26" t="s">
        <v>341</v>
      </c>
    </row>
    <row r="65" spans="2:7" ht="72.5" outlineLevel="1" x14ac:dyDescent="0.35">
      <c r="B65" s="2"/>
      <c r="C65" s="2"/>
      <c r="D65" s="2" t="s">
        <v>1275</v>
      </c>
      <c r="E65" s="2" t="s">
        <v>1473</v>
      </c>
      <c r="F65" s="62"/>
      <c r="G65" s="26" t="s">
        <v>341</v>
      </c>
    </row>
    <row r="66" spans="2:7" ht="58" outlineLevel="1" x14ac:dyDescent="0.35">
      <c r="B66" s="2"/>
      <c r="C66" s="2"/>
      <c r="D66" s="2" t="s">
        <v>285</v>
      </c>
      <c r="E66" s="2" t="s">
        <v>383</v>
      </c>
      <c r="F66" s="62"/>
      <c r="G66" s="26" t="s">
        <v>341</v>
      </c>
    </row>
    <row r="67" spans="2:7" ht="43.5" outlineLevel="1" x14ac:dyDescent="0.35">
      <c r="B67" s="2"/>
      <c r="C67" s="2"/>
      <c r="D67" s="2" t="s">
        <v>1747</v>
      </c>
      <c r="E67" s="2" t="s">
        <v>1755</v>
      </c>
      <c r="F67" s="62"/>
      <c r="G67" s="26" t="s">
        <v>341</v>
      </c>
    </row>
    <row r="68" spans="2:7" ht="101.5" outlineLevel="1" x14ac:dyDescent="0.35">
      <c r="B68" s="2"/>
      <c r="C68" s="2"/>
      <c r="D68" s="2" t="s">
        <v>1385</v>
      </c>
      <c r="E68" s="2" t="s">
        <v>1879</v>
      </c>
      <c r="F68" s="97"/>
      <c r="G68" s="26" t="s">
        <v>341</v>
      </c>
    </row>
    <row r="69" spans="2:7" ht="188.5" outlineLevel="1" x14ac:dyDescent="0.35">
      <c r="B69" s="2"/>
      <c r="C69" s="2"/>
      <c r="D69" s="2" t="s">
        <v>1282</v>
      </c>
      <c r="E69" s="2" t="s">
        <v>3002</v>
      </c>
      <c r="F69" s="62"/>
      <c r="G69" s="26" t="s">
        <v>341</v>
      </c>
    </row>
    <row r="70" spans="2:7" ht="87" outlineLevel="1" x14ac:dyDescent="0.35">
      <c r="B70" s="2"/>
      <c r="C70" s="2"/>
      <c r="D70" s="2" t="s">
        <v>1274</v>
      </c>
      <c r="E70" s="2" t="s">
        <v>3957</v>
      </c>
      <c r="F70" s="62"/>
      <c r="G70" s="26" t="s">
        <v>341</v>
      </c>
    </row>
    <row r="71" spans="2:7" ht="145" outlineLevel="1" x14ac:dyDescent="0.35">
      <c r="B71" s="2"/>
      <c r="C71" s="2"/>
      <c r="D71" s="2" t="s">
        <v>675</v>
      </c>
      <c r="E71" s="2" t="s">
        <v>3983</v>
      </c>
      <c r="F71" s="62"/>
      <c r="G71" s="26" t="s">
        <v>341</v>
      </c>
    </row>
    <row r="72" spans="2:7" ht="58" outlineLevel="1" x14ac:dyDescent="0.35">
      <c r="B72" s="2"/>
      <c r="C72" s="2"/>
      <c r="D72" s="2" t="s">
        <v>3696</v>
      </c>
      <c r="E72" s="2" t="s">
        <v>1930</v>
      </c>
      <c r="F72" s="62"/>
      <c r="G72" s="26" t="s">
        <v>341</v>
      </c>
    </row>
    <row r="73" spans="2:7" ht="58" outlineLevel="1" x14ac:dyDescent="0.35">
      <c r="B73" s="2"/>
      <c r="C73" s="2"/>
      <c r="D73" s="2" t="s">
        <v>49</v>
      </c>
      <c r="E73" s="2" t="s">
        <v>1883</v>
      </c>
      <c r="F73" s="62"/>
      <c r="G73" s="26" t="s">
        <v>341</v>
      </c>
    </row>
    <row r="74" spans="2:7" ht="159.5" outlineLevel="1" x14ac:dyDescent="0.35">
      <c r="B74" s="2"/>
      <c r="C74" s="2"/>
      <c r="D74" s="2" t="s">
        <v>1723</v>
      </c>
      <c r="E74" s="2" t="s">
        <v>3956</v>
      </c>
      <c r="F74" s="62"/>
      <c r="G74" s="26" t="s">
        <v>341</v>
      </c>
    </row>
    <row r="75" spans="2:7" ht="160" customHeight="1" outlineLevel="1" x14ac:dyDescent="0.35">
      <c r="B75" s="2"/>
      <c r="C75" s="2"/>
      <c r="D75" s="2" t="s">
        <v>1720</v>
      </c>
      <c r="E75" s="2" t="s">
        <v>1881</v>
      </c>
      <c r="F75" s="62"/>
      <c r="G75" s="26" t="s">
        <v>341</v>
      </c>
    </row>
    <row r="76" spans="2:7" ht="101.5" outlineLevel="1" x14ac:dyDescent="0.35">
      <c r="B76" s="2"/>
      <c r="C76" s="2"/>
      <c r="D76" s="2" t="s">
        <v>2805</v>
      </c>
      <c r="E76" s="2" t="s">
        <v>1658</v>
      </c>
      <c r="F76" s="62"/>
      <c r="G76" s="26" t="s">
        <v>341</v>
      </c>
    </row>
    <row r="77" spans="2:7" ht="43.5" outlineLevel="1" x14ac:dyDescent="0.35">
      <c r="B77" s="2"/>
      <c r="C77" s="2"/>
      <c r="D77" s="2" t="s">
        <v>286</v>
      </c>
      <c r="E77" s="2" t="s">
        <v>774</v>
      </c>
      <c r="F77" s="62"/>
      <c r="G77" s="26" t="s">
        <v>341</v>
      </c>
    </row>
    <row r="78" spans="2:7" ht="29" outlineLevel="1" x14ac:dyDescent="0.35">
      <c r="B78" s="2"/>
      <c r="C78" s="2"/>
      <c r="D78" s="2" t="s">
        <v>290</v>
      </c>
      <c r="E78" s="2" t="s">
        <v>1907</v>
      </c>
      <c r="F78" s="62"/>
      <c r="G78" s="26" t="s">
        <v>341</v>
      </c>
    </row>
    <row r="79" spans="2:7" outlineLevel="1" x14ac:dyDescent="0.35">
      <c r="B79" s="2"/>
      <c r="C79" s="2"/>
      <c r="D79" s="75" t="s">
        <v>1847</v>
      </c>
      <c r="E79" s="2"/>
      <c r="F79" s="62"/>
      <c r="G79" s="29"/>
    </row>
    <row r="80" spans="2:7" ht="29" outlineLevel="1" x14ac:dyDescent="0.35">
      <c r="B80" s="2"/>
      <c r="C80" s="2"/>
      <c r="D80" s="2" t="s">
        <v>3555</v>
      </c>
      <c r="E80" s="2" t="s">
        <v>555</v>
      </c>
      <c r="F80" s="62"/>
      <c r="G80" s="26" t="s">
        <v>341</v>
      </c>
    </row>
    <row r="81" spans="2:7" ht="101.5" outlineLevel="1" x14ac:dyDescent="0.35">
      <c r="B81" s="2"/>
      <c r="C81" s="2"/>
      <c r="D81" s="2" t="s">
        <v>3590</v>
      </c>
      <c r="E81" s="2" t="s">
        <v>1874</v>
      </c>
      <c r="F81" s="62"/>
      <c r="G81" s="26" t="s">
        <v>341</v>
      </c>
    </row>
    <row r="82" spans="2:7" ht="74.5" customHeight="1" outlineLevel="1" x14ac:dyDescent="0.35">
      <c r="B82" s="2"/>
      <c r="C82" s="2"/>
      <c r="D82" s="2" t="s">
        <v>27</v>
      </c>
      <c r="E82" s="2" t="s">
        <v>2038</v>
      </c>
      <c r="F82" s="62"/>
      <c r="G82" s="26" t="s">
        <v>341</v>
      </c>
    </row>
    <row r="83" spans="2:7" ht="43.5" outlineLevel="1" x14ac:dyDescent="0.35">
      <c r="B83" s="2"/>
      <c r="C83" s="2"/>
      <c r="D83" s="2" t="s">
        <v>78</v>
      </c>
      <c r="E83" s="2" t="s">
        <v>592</v>
      </c>
      <c r="F83" s="62"/>
      <c r="G83" s="26" t="s">
        <v>341</v>
      </c>
    </row>
    <row r="84" spans="2:7" ht="43.5" outlineLevel="1" x14ac:dyDescent="0.35">
      <c r="B84" s="2"/>
      <c r="C84" s="2"/>
      <c r="D84" s="2" t="s">
        <v>28</v>
      </c>
      <c r="E84" s="2" t="s">
        <v>1884</v>
      </c>
      <c r="F84" s="62"/>
      <c r="G84" s="26" t="s">
        <v>341</v>
      </c>
    </row>
    <row r="85" spans="2:7" ht="43.5" outlineLevel="1" x14ac:dyDescent="0.35">
      <c r="B85" s="2"/>
      <c r="C85" s="2"/>
      <c r="D85" s="2" t="s">
        <v>289</v>
      </c>
      <c r="E85" s="2" t="s">
        <v>287</v>
      </c>
      <c r="F85" s="62"/>
      <c r="G85" s="26" t="s">
        <v>341</v>
      </c>
    </row>
    <row r="86" spans="2:7" ht="58" outlineLevel="1" x14ac:dyDescent="0.35">
      <c r="B86" s="2"/>
      <c r="C86" s="2"/>
      <c r="D86" s="2" t="s">
        <v>676</v>
      </c>
      <c r="E86" s="2" t="s">
        <v>1904</v>
      </c>
      <c r="F86" s="62"/>
      <c r="G86" s="26" t="s">
        <v>341</v>
      </c>
    </row>
    <row r="87" spans="2:7" ht="87" outlineLevel="1" x14ac:dyDescent="0.35">
      <c r="B87" s="2"/>
      <c r="C87" s="2"/>
      <c r="D87" s="2" t="s">
        <v>2942</v>
      </c>
      <c r="E87" s="2" t="s">
        <v>2944</v>
      </c>
      <c r="F87" s="62"/>
      <c r="G87" s="26" t="s">
        <v>341</v>
      </c>
    </row>
    <row r="88" spans="2:7" ht="102" customHeight="1" outlineLevel="1" x14ac:dyDescent="0.35">
      <c r="B88" s="2"/>
      <c r="C88" s="2"/>
      <c r="D88" s="2" t="s">
        <v>2943</v>
      </c>
      <c r="E88" s="2" t="s">
        <v>4015</v>
      </c>
      <c r="F88" s="62"/>
      <c r="G88" s="26" t="s">
        <v>341</v>
      </c>
    </row>
    <row r="89" spans="2:7" ht="58" outlineLevel="1" x14ac:dyDescent="0.35">
      <c r="B89" s="2"/>
      <c r="C89" s="2"/>
      <c r="D89" s="2" t="s">
        <v>1790</v>
      </c>
      <c r="E89" s="2" t="s">
        <v>1800</v>
      </c>
      <c r="F89" s="62"/>
      <c r="G89" s="26" t="s">
        <v>341</v>
      </c>
    </row>
    <row r="90" spans="2:7" x14ac:dyDescent="0.35">
      <c r="B90" s="2"/>
      <c r="C90" s="2"/>
      <c r="D90" s="75" t="s">
        <v>196</v>
      </c>
      <c r="E90" s="2"/>
      <c r="F90" s="62"/>
      <c r="G90" s="29"/>
    </row>
    <row r="91" spans="2:7" ht="409.5" outlineLevel="1" x14ac:dyDescent="0.35">
      <c r="B91" s="2"/>
      <c r="C91" s="2"/>
      <c r="D91" s="2" t="s">
        <v>677</v>
      </c>
      <c r="E91" s="2" t="s">
        <v>3902</v>
      </c>
      <c r="F91" s="62"/>
      <c r="G91" s="26" t="s">
        <v>341</v>
      </c>
    </row>
    <row r="92" spans="2:7" ht="43.5" outlineLevel="1" x14ac:dyDescent="0.35">
      <c r="B92" s="2"/>
      <c r="C92" s="2"/>
      <c r="D92" s="2" t="s">
        <v>29</v>
      </c>
      <c r="E92" s="2" t="s">
        <v>3904</v>
      </c>
      <c r="F92" s="62"/>
      <c r="G92" s="26" t="s">
        <v>341</v>
      </c>
    </row>
    <row r="93" spans="2:7" ht="163.5" customHeight="1" outlineLevel="1" x14ac:dyDescent="0.35">
      <c r="B93" s="2"/>
      <c r="C93" s="2"/>
      <c r="D93" s="2" t="s">
        <v>197</v>
      </c>
      <c r="E93" s="2" t="s">
        <v>1929</v>
      </c>
      <c r="F93" s="62"/>
      <c r="G93" s="26" t="s">
        <v>341</v>
      </c>
    </row>
    <row r="94" spans="2:7" ht="72.5" outlineLevel="1" x14ac:dyDescent="0.35">
      <c r="B94" s="2"/>
      <c r="C94" s="2"/>
      <c r="D94" s="2" t="s">
        <v>1424</v>
      </c>
      <c r="E94" s="2" t="s">
        <v>1661</v>
      </c>
      <c r="F94" s="62"/>
      <c r="G94" s="26" t="s">
        <v>341</v>
      </c>
    </row>
    <row r="95" spans="2:7" ht="159.5" outlineLevel="1" x14ac:dyDescent="0.35">
      <c r="B95" s="2"/>
      <c r="C95" s="2"/>
      <c r="D95" s="2" t="s">
        <v>3407</v>
      </c>
      <c r="E95" s="2" t="s">
        <v>4013</v>
      </c>
      <c r="F95" s="62"/>
      <c r="G95" s="26" t="s">
        <v>341</v>
      </c>
    </row>
    <row r="96" spans="2:7" ht="275.5" outlineLevel="1" x14ac:dyDescent="0.35">
      <c r="B96" s="2"/>
      <c r="C96" s="2"/>
      <c r="D96" s="2" t="s">
        <v>3591</v>
      </c>
      <c r="E96" s="2" t="s">
        <v>3217</v>
      </c>
      <c r="F96" s="62"/>
      <c r="G96" s="26" t="s">
        <v>341</v>
      </c>
    </row>
    <row r="97" spans="2:7" ht="130.5" outlineLevel="1" x14ac:dyDescent="0.35">
      <c r="B97" s="1"/>
      <c r="C97" s="1"/>
      <c r="D97" s="2" t="s">
        <v>3303</v>
      </c>
      <c r="E97" s="2" t="s">
        <v>3950</v>
      </c>
      <c r="F97" s="62"/>
      <c r="G97" s="114" t="s">
        <v>341</v>
      </c>
    </row>
    <row r="98" spans="2:7" ht="203" outlineLevel="1" x14ac:dyDescent="0.35">
      <c r="B98" s="2"/>
      <c r="C98" s="2"/>
      <c r="D98" s="2" t="s">
        <v>3408</v>
      </c>
      <c r="E98" s="2" t="s">
        <v>3709</v>
      </c>
      <c r="F98" s="62"/>
      <c r="G98" s="26" t="s">
        <v>341</v>
      </c>
    </row>
    <row r="99" spans="2:7" ht="145" outlineLevel="1" x14ac:dyDescent="0.35">
      <c r="B99" s="1"/>
      <c r="C99" s="1"/>
      <c r="D99" s="2" t="s">
        <v>3304</v>
      </c>
      <c r="E99" s="2" t="s">
        <v>3327</v>
      </c>
      <c r="F99" s="62"/>
      <c r="G99" s="114" t="s">
        <v>341</v>
      </c>
    </row>
    <row r="100" spans="2:7" ht="145" outlineLevel="1" x14ac:dyDescent="0.35">
      <c r="B100" s="1"/>
      <c r="C100" s="1"/>
      <c r="D100" s="2" t="s">
        <v>3305</v>
      </c>
      <c r="E100" s="2" t="s">
        <v>3326</v>
      </c>
      <c r="F100" s="62"/>
      <c r="G100" s="114" t="s">
        <v>341</v>
      </c>
    </row>
    <row r="101" spans="2:7" x14ac:dyDescent="0.35">
      <c r="B101" s="2"/>
      <c r="C101" s="2"/>
      <c r="D101" s="75" t="s">
        <v>198</v>
      </c>
      <c r="E101" s="2"/>
      <c r="F101" s="62"/>
      <c r="G101" s="110"/>
    </row>
    <row r="102" spans="2:7" ht="43.5" outlineLevel="1" x14ac:dyDescent="0.35">
      <c r="B102" s="2"/>
      <c r="C102" s="2"/>
      <c r="D102" s="2" t="s">
        <v>30</v>
      </c>
      <c r="E102" s="2" t="s">
        <v>593</v>
      </c>
      <c r="F102" s="62"/>
      <c r="G102" s="26" t="s">
        <v>341</v>
      </c>
    </row>
    <row r="103" spans="2:7" ht="58" outlineLevel="1" x14ac:dyDescent="0.35">
      <c r="B103" s="2"/>
      <c r="C103" s="2"/>
      <c r="D103" s="2" t="s">
        <v>1560</v>
      </c>
      <c r="E103" s="2" t="s">
        <v>1908</v>
      </c>
      <c r="F103" s="62"/>
      <c r="G103" s="26" t="s">
        <v>341</v>
      </c>
    </row>
    <row r="104" spans="2:7" x14ac:dyDescent="0.35">
      <c r="B104" s="2"/>
      <c r="C104" s="2"/>
      <c r="D104" s="75" t="s">
        <v>199</v>
      </c>
      <c r="E104" s="2"/>
      <c r="F104" s="62"/>
      <c r="G104" s="29"/>
    </row>
    <row r="105" spans="2:7" ht="72.5" outlineLevel="1" x14ac:dyDescent="0.35">
      <c r="B105" s="2"/>
      <c r="C105" s="2"/>
      <c r="D105" s="2" t="s">
        <v>3556</v>
      </c>
      <c r="E105" s="2" t="s">
        <v>556</v>
      </c>
      <c r="F105" s="62"/>
      <c r="G105" s="26" t="s">
        <v>341</v>
      </c>
    </row>
    <row r="106" spans="2:7" ht="87" outlineLevel="1" x14ac:dyDescent="0.35">
      <c r="B106" s="2"/>
      <c r="C106" s="2"/>
      <c r="D106" s="2" t="s">
        <v>2945</v>
      </c>
      <c r="E106" s="2" t="s">
        <v>2946</v>
      </c>
      <c r="F106" s="62"/>
      <c r="G106" s="26" t="s">
        <v>341</v>
      </c>
    </row>
    <row r="107" spans="2:7" ht="101.5" outlineLevel="1" x14ac:dyDescent="0.35">
      <c r="B107" s="2"/>
      <c r="C107" s="2"/>
      <c r="D107" s="2" t="s">
        <v>3131</v>
      </c>
      <c r="E107" s="2" t="s">
        <v>3132</v>
      </c>
      <c r="F107" s="62"/>
      <c r="G107" s="26" t="s">
        <v>341</v>
      </c>
    </row>
    <row r="108" spans="2:7" ht="29" outlineLevel="1" x14ac:dyDescent="0.35">
      <c r="B108" s="2"/>
      <c r="C108" s="2"/>
      <c r="D108" s="2" t="s">
        <v>1213</v>
      </c>
      <c r="E108" s="2" t="s">
        <v>776</v>
      </c>
      <c r="F108" s="62"/>
      <c r="G108" s="26" t="s">
        <v>341</v>
      </c>
    </row>
    <row r="109" spans="2:7" ht="87" outlineLevel="1" x14ac:dyDescent="0.35">
      <c r="B109" s="2"/>
      <c r="C109" s="2"/>
      <c r="D109" s="2" t="s">
        <v>775</v>
      </c>
      <c r="E109" s="2" t="s">
        <v>1478</v>
      </c>
      <c r="F109" s="62"/>
      <c r="G109" s="26" t="s">
        <v>341</v>
      </c>
    </row>
    <row r="110" spans="2:7" ht="72.5" outlineLevel="1" x14ac:dyDescent="0.35">
      <c r="B110" s="2"/>
      <c r="C110" s="2"/>
      <c r="D110" s="2" t="s">
        <v>1214</v>
      </c>
      <c r="E110" s="2" t="s">
        <v>1659</v>
      </c>
      <c r="F110" s="62"/>
      <c r="G110" s="26" t="s">
        <v>341</v>
      </c>
    </row>
    <row r="111" spans="2:7" ht="101.5" outlineLevel="1" x14ac:dyDescent="0.35">
      <c r="B111" s="2"/>
      <c r="C111" s="2"/>
      <c r="D111" s="2" t="s">
        <v>854</v>
      </c>
      <c r="E111" s="2" t="s">
        <v>1660</v>
      </c>
      <c r="F111" s="62"/>
      <c r="G111" s="26" t="s">
        <v>341</v>
      </c>
    </row>
    <row r="112" spans="2:7" ht="87" outlineLevel="1" x14ac:dyDescent="0.35">
      <c r="B112" s="2"/>
      <c r="C112" s="2"/>
      <c r="D112" s="2" t="s">
        <v>454</v>
      </c>
      <c r="E112" s="2" t="s">
        <v>3997</v>
      </c>
      <c r="F112" s="62"/>
      <c r="G112" s="26" t="s">
        <v>341</v>
      </c>
    </row>
    <row r="113" spans="2:7" ht="116" outlineLevel="1" x14ac:dyDescent="0.35">
      <c r="B113" s="1"/>
      <c r="C113" s="1"/>
      <c r="D113" s="2" t="s">
        <v>952</v>
      </c>
      <c r="E113" s="2" t="s">
        <v>1905</v>
      </c>
      <c r="F113" s="62"/>
      <c r="G113" s="26" t="s">
        <v>341</v>
      </c>
    </row>
    <row r="114" spans="2:7" ht="72.5" outlineLevel="1" x14ac:dyDescent="0.35">
      <c r="B114" s="2"/>
      <c r="C114" s="2"/>
      <c r="D114" s="2" t="s">
        <v>353</v>
      </c>
      <c r="E114" s="2" t="s">
        <v>1662</v>
      </c>
      <c r="F114" s="62"/>
      <c r="G114" s="26" t="s">
        <v>341</v>
      </c>
    </row>
    <row r="115" spans="2:7" ht="29" outlineLevel="1" x14ac:dyDescent="0.35">
      <c r="B115" s="2"/>
      <c r="C115" s="2"/>
      <c r="D115" s="2" t="s">
        <v>3557</v>
      </c>
      <c r="E115" s="2" t="s">
        <v>545</v>
      </c>
      <c r="F115" s="62"/>
      <c r="G115" s="26" t="s">
        <v>341</v>
      </c>
    </row>
    <row r="116" spans="2:7" ht="72.5" outlineLevel="1" x14ac:dyDescent="0.35">
      <c r="B116" s="2"/>
      <c r="C116" s="2"/>
      <c r="D116" s="2" t="s">
        <v>31</v>
      </c>
      <c r="E116" s="2" t="s">
        <v>4047</v>
      </c>
      <c r="F116" s="62"/>
      <c r="G116" s="26" t="s">
        <v>341</v>
      </c>
    </row>
    <row r="117" spans="2:7" ht="43.5" outlineLevel="1" x14ac:dyDescent="0.35">
      <c r="B117" s="84"/>
      <c r="C117" s="85"/>
      <c r="D117" s="2" t="s">
        <v>3592</v>
      </c>
      <c r="E117" s="2" t="s">
        <v>1307</v>
      </c>
      <c r="F117" s="62"/>
      <c r="G117" s="26" t="s">
        <v>341</v>
      </c>
    </row>
    <row r="118" spans="2:7" ht="72.5" outlineLevel="1" x14ac:dyDescent="0.35">
      <c r="B118" s="84"/>
      <c r="C118" s="85"/>
      <c r="D118" s="2" t="s">
        <v>1920</v>
      </c>
      <c r="E118" s="2" t="s">
        <v>1921</v>
      </c>
      <c r="F118" s="62"/>
      <c r="G118" s="26" t="s">
        <v>341</v>
      </c>
    </row>
    <row r="119" spans="2:7" ht="58" outlineLevel="1" x14ac:dyDescent="0.35">
      <c r="B119" s="84"/>
      <c r="C119" s="85"/>
      <c r="D119" s="2" t="s">
        <v>3593</v>
      </c>
      <c r="E119" s="2" t="s">
        <v>1481</v>
      </c>
      <c r="F119" s="62"/>
      <c r="G119" s="26" t="s">
        <v>341</v>
      </c>
    </row>
    <row r="120" spans="2:7" x14ac:dyDescent="0.35">
      <c r="B120" s="2"/>
      <c r="C120" s="2"/>
      <c r="D120" s="75" t="s">
        <v>3594</v>
      </c>
      <c r="E120" s="2"/>
      <c r="F120" s="62"/>
      <c r="G120" s="29"/>
    </row>
    <row r="121" spans="2:7" ht="43.5" outlineLevel="1" x14ac:dyDescent="0.35">
      <c r="B121" s="2"/>
      <c r="C121" s="2"/>
      <c r="D121" s="2" t="s">
        <v>678</v>
      </c>
      <c r="E121" s="2" t="s">
        <v>633</v>
      </c>
      <c r="F121" s="62"/>
      <c r="G121" s="26" t="s">
        <v>341</v>
      </c>
    </row>
    <row r="122" spans="2:7" ht="29" outlineLevel="1" x14ac:dyDescent="0.35">
      <c r="B122" s="2"/>
      <c r="C122" s="2"/>
      <c r="D122" s="2" t="s">
        <v>679</v>
      </c>
      <c r="E122" s="2" t="s">
        <v>777</v>
      </c>
      <c r="F122" s="62"/>
      <c r="G122" s="26" t="s">
        <v>341</v>
      </c>
    </row>
    <row r="123" spans="2:7" ht="58" outlineLevel="1" x14ac:dyDescent="0.35">
      <c r="B123" s="2"/>
      <c r="C123" s="2"/>
      <c r="D123" s="2" t="s">
        <v>778</v>
      </c>
      <c r="E123" s="2" t="s">
        <v>779</v>
      </c>
      <c r="F123" s="62"/>
      <c r="G123" s="26" t="s">
        <v>341</v>
      </c>
    </row>
    <row r="124" spans="2:7" ht="43.5" outlineLevel="1" x14ac:dyDescent="0.35">
      <c r="B124" s="2"/>
      <c r="C124" s="2"/>
      <c r="D124" s="2" t="s">
        <v>680</v>
      </c>
      <c r="E124" s="2" t="s">
        <v>780</v>
      </c>
      <c r="F124" s="62"/>
      <c r="G124" s="26" t="s">
        <v>341</v>
      </c>
    </row>
    <row r="125" spans="2:7" ht="43.5" outlineLevel="1" x14ac:dyDescent="0.35">
      <c r="B125" s="2"/>
      <c r="C125" s="2"/>
      <c r="D125" s="2" t="s">
        <v>634</v>
      </c>
      <c r="E125" s="2" t="s">
        <v>1217</v>
      </c>
      <c r="F125" s="62"/>
      <c r="G125" s="26" t="s">
        <v>341</v>
      </c>
    </row>
    <row r="126" spans="2:7" x14ac:dyDescent="0.35">
      <c r="B126" s="2"/>
      <c r="C126" s="2"/>
      <c r="D126" s="75" t="s">
        <v>1676</v>
      </c>
      <c r="E126" s="2"/>
      <c r="F126" s="62"/>
      <c r="G126" s="29"/>
    </row>
    <row r="127" spans="2:7" ht="58" outlineLevel="1" x14ac:dyDescent="0.35">
      <c r="B127" s="2"/>
      <c r="C127" s="2"/>
      <c r="D127" s="2" t="s">
        <v>3558</v>
      </c>
      <c r="E127" s="2" t="s">
        <v>1873</v>
      </c>
      <c r="F127" s="62"/>
      <c r="G127" s="26" t="s">
        <v>341</v>
      </c>
    </row>
    <row r="128" spans="2:7" ht="145" outlineLevel="1" x14ac:dyDescent="0.35">
      <c r="B128" s="2"/>
      <c r="C128" s="2"/>
      <c r="D128" s="2" t="s">
        <v>2132</v>
      </c>
      <c r="E128" s="2" t="s">
        <v>3984</v>
      </c>
      <c r="F128" s="62"/>
      <c r="G128" s="26" t="s">
        <v>341</v>
      </c>
    </row>
    <row r="129" spans="2:8" ht="72.5" outlineLevel="1" x14ac:dyDescent="0.35">
      <c r="B129" s="2"/>
      <c r="C129" s="2"/>
      <c r="D129" s="2" t="s">
        <v>2072</v>
      </c>
      <c r="E129" s="2" t="s">
        <v>2073</v>
      </c>
      <c r="F129" s="62"/>
      <c r="G129" s="26" t="s">
        <v>341</v>
      </c>
    </row>
    <row r="130" spans="2:8" ht="43.5" outlineLevel="1" x14ac:dyDescent="0.35">
      <c r="B130" s="2"/>
      <c r="C130" s="2"/>
      <c r="D130" s="2" t="s">
        <v>2042</v>
      </c>
      <c r="E130" s="2" t="s">
        <v>2071</v>
      </c>
      <c r="F130" s="62"/>
      <c r="G130" s="26" t="s">
        <v>341</v>
      </c>
    </row>
    <row r="131" spans="2:8" x14ac:dyDescent="0.35">
      <c r="B131" s="2"/>
      <c r="C131" s="2"/>
      <c r="D131" s="75" t="s">
        <v>1947</v>
      </c>
      <c r="E131" s="2"/>
      <c r="F131" s="62"/>
      <c r="G131" s="29"/>
    </row>
    <row r="132" spans="2:8" ht="159.5" outlineLevel="1" x14ac:dyDescent="0.35">
      <c r="B132" s="2"/>
      <c r="C132" s="2"/>
      <c r="D132" s="2" t="s">
        <v>1948</v>
      </c>
      <c r="E132" s="2" t="s">
        <v>2013</v>
      </c>
      <c r="F132" s="62"/>
      <c r="G132" s="26" t="s">
        <v>341</v>
      </c>
    </row>
    <row r="133" spans="2:8" ht="130.5" outlineLevel="1" x14ac:dyDescent="0.35">
      <c r="B133" s="2"/>
      <c r="C133" s="2"/>
      <c r="D133" s="2" t="s">
        <v>1949</v>
      </c>
      <c r="E133" s="2" t="s">
        <v>2012</v>
      </c>
      <c r="F133" s="62"/>
      <c r="G133" s="26" t="s">
        <v>341</v>
      </c>
    </row>
    <row r="134" spans="2:8" ht="116" outlineLevel="1" x14ac:dyDescent="0.35">
      <c r="B134" s="2"/>
      <c r="C134" s="2"/>
      <c r="D134" s="2" t="s">
        <v>2806</v>
      </c>
      <c r="E134" s="2" t="s">
        <v>1950</v>
      </c>
      <c r="F134" s="62"/>
      <c r="G134" s="26" t="s">
        <v>341</v>
      </c>
    </row>
    <row r="135" spans="2:8" x14ac:dyDescent="0.35">
      <c r="B135" s="2"/>
      <c r="C135" s="2"/>
      <c r="D135" s="75" t="s">
        <v>2021</v>
      </c>
      <c r="E135" s="2"/>
      <c r="F135" s="62"/>
      <c r="G135" s="107"/>
    </row>
    <row r="136" spans="2:8" ht="101.5" outlineLevel="1" x14ac:dyDescent="0.35">
      <c r="B136" s="2"/>
      <c r="C136" s="2"/>
      <c r="D136" s="2" t="s">
        <v>1922</v>
      </c>
      <c r="E136" s="2" t="s">
        <v>1923</v>
      </c>
      <c r="F136" s="62"/>
      <c r="G136" s="26" t="s">
        <v>341</v>
      </c>
    </row>
    <row r="137" spans="2:8" ht="87" outlineLevel="1" x14ac:dyDescent="0.35">
      <c r="B137" s="2"/>
      <c r="C137" s="2"/>
      <c r="D137" s="2" t="s">
        <v>1924</v>
      </c>
      <c r="E137" s="2" t="s">
        <v>3985</v>
      </c>
      <c r="F137" s="62"/>
      <c r="G137" s="26" t="s">
        <v>341</v>
      </c>
    </row>
    <row r="138" spans="2:8" ht="72.5" outlineLevel="1" x14ac:dyDescent="0.35">
      <c r="B138" s="2"/>
      <c r="C138" s="2"/>
      <c r="D138" s="2" t="s">
        <v>2022</v>
      </c>
      <c r="E138" s="2" t="s">
        <v>2023</v>
      </c>
      <c r="F138" s="62"/>
      <c r="G138" s="26" t="s">
        <v>341</v>
      </c>
    </row>
    <row r="139" spans="2:8" x14ac:dyDescent="0.35">
      <c r="B139" s="2"/>
      <c r="C139" s="77" t="s">
        <v>200</v>
      </c>
      <c r="D139" s="2"/>
      <c r="E139" s="2"/>
      <c r="F139" s="62"/>
      <c r="G139" s="23">
        <f>COUNTIF(G141:G166,"Yes")</f>
        <v>24</v>
      </c>
      <c r="H139" s="74"/>
    </row>
    <row r="140" spans="2:8" x14ac:dyDescent="0.35">
      <c r="B140" s="2"/>
      <c r="C140" s="2"/>
      <c r="D140" s="75" t="s">
        <v>2901</v>
      </c>
      <c r="E140" s="2"/>
      <c r="F140" s="62"/>
      <c r="G140" s="29"/>
    </row>
    <row r="141" spans="2:8" ht="43.5" outlineLevel="1" x14ac:dyDescent="0.35">
      <c r="B141" s="2"/>
      <c r="C141" s="2"/>
      <c r="D141" s="2" t="s">
        <v>2488</v>
      </c>
      <c r="E141" s="2" t="s">
        <v>2537</v>
      </c>
      <c r="F141" s="62"/>
      <c r="G141" s="26" t="s">
        <v>341</v>
      </c>
    </row>
    <row r="142" spans="2:8" ht="101.5" outlineLevel="1" x14ac:dyDescent="0.35">
      <c r="B142" s="2"/>
      <c r="C142" s="2"/>
      <c r="D142" s="2" t="s">
        <v>972</v>
      </c>
      <c r="E142" s="2" t="s">
        <v>2458</v>
      </c>
      <c r="F142" s="97"/>
      <c r="G142" s="26" t="s">
        <v>341</v>
      </c>
    </row>
    <row r="143" spans="2:8" ht="43.5" outlineLevel="1" x14ac:dyDescent="0.35">
      <c r="B143" s="2"/>
      <c r="C143" s="2"/>
      <c r="D143" s="2" t="s">
        <v>647</v>
      </c>
      <c r="E143" s="2" t="s">
        <v>1656</v>
      </c>
      <c r="F143" s="118"/>
      <c r="G143" s="26" t="s">
        <v>341</v>
      </c>
    </row>
    <row r="144" spans="2:8" ht="43.5" outlineLevel="1" x14ac:dyDescent="0.35">
      <c r="B144" s="2"/>
      <c r="C144" s="2"/>
      <c r="D144" s="2" t="s">
        <v>32</v>
      </c>
      <c r="E144" s="2" t="s">
        <v>1880</v>
      </c>
      <c r="F144" s="62"/>
      <c r="G144" s="26" t="s">
        <v>341</v>
      </c>
    </row>
    <row r="145" spans="2:7" ht="43.5" outlineLevel="1" x14ac:dyDescent="0.35">
      <c r="B145" s="2"/>
      <c r="C145" s="2"/>
      <c r="D145" s="2" t="s">
        <v>970</v>
      </c>
      <c r="E145" s="2" t="s">
        <v>2538</v>
      </c>
      <c r="F145" s="97"/>
      <c r="G145" s="26" t="s">
        <v>341</v>
      </c>
    </row>
    <row r="146" spans="2:7" ht="43.5" outlineLevel="1" x14ac:dyDescent="0.35">
      <c r="B146" s="2"/>
      <c r="C146" s="2"/>
      <c r="D146" s="2" t="s">
        <v>50</v>
      </c>
      <c r="E146" s="2" t="s">
        <v>781</v>
      </c>
      <c r="F146" s="62"/>
      <c r="G146" s="26" t="s">
        <v>341</v>
      </c>
    </row>
    <row r="147" spans="2:7" ht="43.5" outlineLevel="1" x14ac:dyDescent="0.35">
      <c r="B147" s="2"/>
      <c r="C147" s="2"/>
      <c r="D147" s="2" t="s">
        <v>973</v>
      </c>
      <c r="E147" s="2" t="s">
        <v>1476</v>
      </c>
      <c r="F147" s="62"/>
      <c r="G147" s="26" t="s">
        <v>341</v>
      </c>
    </row>
    <row r="148" spans="2:7" ht="43.5" outlineLevel="1" x14ac:dyDescent="0.35">
      <c r="B148" s="2"/>
      <c r="C148" s="2"/>
      <c r="D148" s="2" t="s">
        <v>637</v>
      </c>
      <c r="E148" s="2" t="s">
        <v>782</v>
      </c>
      <c r="F148" s="97"/>
      <c r="G148" s="26" t="s">
        <v>341</v>
      </c>
    </row>
    <row r="149" spans="2:7" ht="116" outlineLevel="1" x14ac:dyDescent="0.35">
      <c r="B149" s="2"/>
      <c r="C149" s="2"/>
      <c r="D149" s="2" t="s">
        <v>4082</v>
      </c>
      <c r="E149" s="2" t="s">
        <v>4083</v>
      </c>
      <c r="F149" s="97"/>
      <c r="G149" s="26" t="s">
        <v>341</v>
      </c>
    </row>
    <row r="150" spans="2:7" ht="87" outlineLevel="1" x14ac:dyDescent="0.35">
      <c r="B150" s="2"/>
      <c r="C150" s="2"/>
      <c r="D150" s="2" t="s">
        <v>4084</v>
      </c>
      <c r="E150" s="2" t="s">
        <v>4085</v>
      </c>
      <c r="F150" s="62"/>
      <c r="G150" s="26" t="s">
        <v>341</v>
      </c>
    </row>
    <row r="151" spans="2:7" x14ac:dyDescent="0.35">
      <c r="B151" s="2"/>
      <c r="C151" s="2"/>
      <c r="D151" s="75" t="s">
        <v>201</v>
      </c>
      <c r="E151" s="2"/>
      <c r="F151" s="62"/>
      <c r="G151" s="29"/>
    </row>
    <row r="152" spans="2:7" ht="43.5" outlineLevel="1" x14ac:dyDescent="0.35">
      <c r="B152" s="2"/>
      <c r="C152" s="2"/>
      <c r="D152" s="2" t="s">
        <v>3559</v>
      </c>
      <c r="E152" s="2" t="s">
        <v>783</v>
      </c>
      <c r="F152" s="62"/>
      <c r="G152" s="114" t="s">
        <v>341</v>
      </c>
    </row>
    <row r="153" spans="2:7" x14ac:dyDescent="0.35">
      <c r="B153" s="2"/>
      <c r="C153" s="2"/>
      <c r="D153" s="75" t="s">
        <v>202</v>
      </c>
      <c r="E153" s="2"/>
      <c r="F153" s="62"/>
      <c r="G153" s="29"/>
    </row>
    <row r="154" spans="2:7" ht="29" outlineLevel="1" x14ac:dyDescent="0.35">
      <c r="B154" s="2"/>
      <c r="C154" s="2"/>
      <c r="D154" s="2" t="s">
        <v>51</v>
      </c>
      <c r="E154" s="2" t="s">
        <v>203</v>
      </c>
      <c r="F154" s="62"/>
      <c r="G154" s="114" t="s">
        <v>341</v>
      </c>
    </row>
    <row r="155" spans="2:7" ht="117.5" customHeight="1" outlineLevel="1" x14ac:dyDescent="0.35">
      <c r="B155" s="2"/>
      <c r="C155" s="2"/>
      <c r="D155" s="2" t="s">
        <v>3560</v>
      </c>
      <c r="E155" s="2" t="s">
        <v>4307</v>
      </c>
      <c r="F155" s="62" t="s">
        <v>4225</v>
      </c>
      <c r="G155" s="114" t="s">
        <v>341</v>
      </c>
    </row>
    <row r="156" spans="2:7" ht="58" outlineLevel="1" x14ac:dyDescent="0.35">
      <c r="B156" s="1"/>
      <c r="C156" s="1"/>
      <c r="D156" s="2" t="s">
        <v>3561</v>
      </c>
      <c r="E156" s="2" t="s">
        <v>1878</v>
      </c>
      <c r="F156" s="62"/>
      <c r="G156" s="114" t="s">
        <v>341</v>
      </c>
    </row>
    <row r="157" spans="2:7" ht="29" outlineLevel="1" x14ac:dyDescent="0.35">
      <c r="B157" s="1"/>
      <c r="C157" s="1"/>
      <c r="D157" s="2" t="s">
        <v>640</v>
      </c>
      <c r="E157" s="2" t="s">
        <v>641</v>
      </c>
      <c r="F157" s="62"/>
      <c r="G157" s="114" t="s">
        <v>341</v>
      </c>
    </row>
    <row r="158" spans="2:7" ht="29" outlineLevel="1" x14ac:dyDescent="0.35">
      <c r="B158" s="1"/>
      <c r="C158" s="1"/>
      <c r="D158" s="2" t="s">
        <v>638</v>
      </c>
      <c r="E158" s="2" t="s">
        <v>1655</v>
      </c>
      <c r="F158" s="62"/>
      <c r="G158" s="114" t="s">
        <v>341</v>
      </c>
    </row>
    <row r="159" spans="2:7" ht="72.5" outlineLevel="1" x14ac:dyDescent="0.35">
      <c r="B159" s="2"/>
      <c r="C159" s="2"/>
      <c r="D159" s="2" t="s">
        <v>3562</v>
      </c>
      <c r="E159" s="2" t="s">
        <v>1376</v>
      </c>
      <c r="F159" s="62"/>
      <c r="G159" s="114" t="s">
        <v>341</v>
      </c>
    </row>
    <row r="160" spans="2:7" ht="29" outlineLevel="1" x14ac:dyDescent="0.35">
      <c r="B160" s="2"/>
      <c r="C160" s="2"/>
      <c r="D160" s="2" t="s">
        <v>974</v>
      </c>
      <c r="E160" s="2" t="s">
        <v>1895</v>
      </c>
      <c r="F160" s="97"/>
      <c r="G160" s="114" t="s">
        <v>341</v>
      </c>
    </row>
    <row r="161" spans="2:8" ht="58" outlineLevel="1" x14ac:dyDescent="0.35">
      <c r="B161" s="2"/>
      <c r="C161" s="2"/>
      <c r="D161" s="2" t="s">
        <v>66</v>
      </c>
      <c r="E161" s="2" t="s">
        <v>543</v>
      </c>
      <c r="F161" s="62"/>
      <c r="G161" s="114" t="s">
        <v>341</v>
      </c>
    </row>
    <row r="162" spans="2:8" ht="43.5" outlineLevel="1" x14ac:dyDescent="0.35">
      <c r="B162" s="1"/>
      <c r="C162" s="1"/>
      <c r="D162" s="2" t="s">
        <v>67</v>
      </c>
      <c r="E162" s="2" t="s">
        <v>1900</v>
      </c>
      <c r="F162" s="62"/>
      <c r="G162" s="114" t="s">
        <v>341</v>
      </c>
    </row>
    <row r="163" spans="2:8" ht="29" outlineLevel="1" x14ac:dyDescent="0.35">
      <c r="B163" s="1"/>
      <c r="C163" s="1"/>
      <c r="D163" s="2" t="s">
        <v>3563</v>
      </c>
      <c r="E163" s="2" t="s">
        <v>3055</v>
      </c>
      <c r="F163" s="62"/>
      <c r="G163" s="114" t="s">
        <v>341</v>
      </c>
    </row>
    <row r="164" spans="2:8" ht="58" outlineLevel="1" x14ac:dyDescent="0.35">
      <c r="B164" s="1"/>
      <c r="C164" s="1"/>
      <c r="D164" s="2" t="s">
        <v>4887</v>
      </c>
      <c r="E164" s="2" t="s">
        <v>4888</v>
      </c>
      <c r="F164" s="62"/>
      <c r="G164" s="114" t="s">
        <v>341</v>
      </c>
    </row>
    <row r="165" spans="2:8" ht="58" outlineLevel="1" x14ac:dyDescent="0.35">
      <c r="B165" s="1"/>
      <c r="C165" s="1"/>
      <c r="D165" s="2" t="s">
        <v>639</v>
      </c>
      <c r="E165" s="2" t="s">
        <v>1913</v>
      </c>
      <c r="F165" s="62"/>
      <c r="G165" s="114" t="s">
        <v>341</v>
      </c>
    </row>
    <row r="166" spans="2:8" ht="72.5" outlineLevel="1" x14ac:dyDescent="0.35">
      <c r="B166" s="2"/>
      <c r="C166" s="2"/>
      <c r="D166" s="2" t="s">
        <v>204</v>
      </c>
      <c r="E166" s="2" t="s">
        <v>1916</v>
      </c>
      <c r="F166" s="62"/>
      <c r="G166" s="26" t="s">
        <v>341</v>
      </c>
    </row>
    <row r="167" spans="2:8" x14ac:dyDescent="0.35">
      <c r="B167" s="2"/>
      <c r="C167" s="77" t="s">
        <v>271</v>
      </c>
      <c r="D167" s="2"/>
      <c r="E167" s="2"/>
      <c r="F167" s="62"/>
      <c r="G167" s="23">
        <f>COUNTIF(G169:G173,"Yes")</f>
        <v>3</v>
      </c>
      <c r="H167" s="74"/>
    </row>
    <row r="168" spans="2:8" x14ac:dyDescent="0.35">
      <c r="B168" s="2"/>
      <c r="C168" s="2"/>
      <c r="D168" s="75" t="s">
        <v>2902</v>
      </c>
      <c r="E168" s="2"/>
      <c r="F168" s="62"/>
      <c r="G168" s="29"/>
    </row>
    <row r="169" spans="2:8" ht="29" outlineLevel="1" x14ac:dyDescent="0.35">
      <c r="B169" s="2"/>
      <c r="C169" s="2"/>
      <c r="D169" s="2" t="s">
        <v>1212</v>
      </c>
      <c r="E169" s="2" t="s">
        <v>594</v>
      </c>
      <c r="F169" s="62"/>
      <c r="G169" s="114" t="s">
        <v>341</v>
      </c>
    </row>
    <row r="170" spans="2:8" x14ac:dyDescent="0.35">
      <c r="B170" s="2"/>
      <c r="C170" s="2"/>
      <c r="D170" s="75" t="s">
        <v>205</v>
      </c>
      <c r="E170" s="2"/>
      <c r="F170" s="62"/>
      <c r="G170" s="29"/>
    </row>
    <row r="171" spans="2:8" ht="29" outlineLevel="1" x14ac:dyDescent="0.35">
      <c r="B171" s="2"/>
      <c r="C171" s="2"/>
      <c r="D171" s="2" t="s">
        <v>206</v>
      </c>
      <c r="E171" s="2" t="s">
        <v>784</v>
      </c>
      <c r="F171" s="62"/>
      <c r="G171" s="114" t="s">
        <v>341</v>
      </c>
    </row>
    <row r="172" spans="2:8" x14ac:dyDescent="0.35">
      <c r="B172" s="2"/>
      <c r="C172" s="2"/>
      <c r="D172" s="75" t="s">
        <v>207</v>
      </c>
      <c r="E172" s="2"/>
      <c r="F172" s="62"/>
      <c r="G172" s="29"/>
    </row>
    <row r="173" spans="2:8" ht="29" outlineLevel="1" x14ac:dyDescent="0.35">
      <c r="B173" s="2"/>
      <c r="C173" s="2"/>
      <c r="D173" s="2" t="s">
        <v>891</v>
      </c>
      <c r="E173" s="2" t="s">
        <v>256</v>
      </c>
      <c r="F173" s="62"/>
      <c r="G173" s="114" t="s">
        <v>341</v>
      </c>
    </row>
    <row r="174" spans="2:8" x14ac:dyDescent="0.35">
      <c r="B174" s="2"/>
      <c r="C174" s="77" t="s">
        <v>264</v>
      </c>
      <c r="D174" s="2"/>
      <c r="E174" s="2"/>
      <c r="F174" s="62"/>
      <c r="G174" s="23">
        <f>COUNTIF(G176:G189,"Yes")</f>
        <v>10</v>
      </c>
      <c r="H174" s="74"/>
    </row>
    <row r="175" spans="2:8" x14ac:dyDescent="0.35">
      <c r="B175" s="2"/>
      <c r="C175" s="2"/>
      <c r="D175" s="75" t="s">
        <v>3564</v>
      </c>
      <c r="E175" s="2"/>
      <c r="F175" s="62"/>
      <c r="G175" s="119"/>
    </row>
    <row r="176" spans="2:8" ht="261" outlineLevel="1" x14ac:dyDescent="0.35">
      <c r="B176" s="2"/>
      <c r="C176" s="2"/>
      <c r="D176" s="2" t="s">
        <v>3565</v>
      </c>
      <c r="E176" s="2" t="s">
        <v>3954</v>
      </c>
      <c r="F176" s="62"/>
      <c r="G176" s="114" t="s">
        <v>341</v>
      </c>
    </row>
    <row r="177" spans="2:8" ht="304.5" outlineLevel="1" x14ac:dyDescent="0.35">
      <c r="B177" s="2"/>
      <c r="C177" s="2"/>
      <c r="D177" s="2" t="s">
        <v>3566</v>
      </c>
      <c r="E177" s="2" t="s">
        <v>3987</v>
      </c>
      <c r="F177" s="62"/>
      <c r="G177" s="114" t="s">
        <v>341</v>
      </c>
    </row>
    <row r="178" spans="2:8" x14ac:dyDescent="0.35">
      <c r="B178" s="2"/>
      <c r="C178" s="2"/>
      <c r="D178" s="75" t="s">
        <v>907</v>
      </c>
      <c r="E178" s="2"/>
      <c r="F178" s="62"/>
      <c r="G178" s="119"/>
    </row>
    <row r="179" spans="2:8" ht="174" outlineLevel="1" x14ac:dyDescent="0.35">
      <c r="B179" s="2"/>
      <c r="C179" s="2"/>
      <c r="D179" s="2" t="s">
        <v>909</v>
      </c>
      <c r="E179" s="2" t="s">
        <v>3951</v>
      </c>
      <c r="F179" s="62"/>
      <c r="G179" s="114" t="s">
        <v>341</v>
      </c>
    </row>
    <row r="180" spans="2:8" ht="304.5" outlineLevel="1" x14ac:dyDescent="0.35">
      <c r="B180" s="2"/>
      <c r="C180" s="2"/>
      <c r="D180" s="2" t="s">
        <v>3567</v>
      </c>
      <c r="E180" s="2" t="s">
        <v>3986</v>
      </c>
      <c r="F180" s="62"/>
      <c r="G180" s="114" t="s">
        <v>341</v>
      </c>
    </row>
    <row r="181" spans="2:8" x14ac:dyDescent="0.35">
      <c r="B181" s="2"/>
      <c r="C181" s="2"/>
      <c r="D181" s="75" t="s">
        <v>908</v>
      </c>
      <c r="E181" s="2"/>
      <c r="F181" s="62"/>
      <c r="G181" s="119"/>
    </row>
    <row r="182" spans="2:8" ht="72.5" outlineLevel="1" x14ac:dyDescent="0.35">
      <c r="B182" s="2"/>
      <c r="C182" s="2"/>
      <c r="D182" s="2" t="s">
        <v>910</v>
      </c>
      <c r="E182" s="2" t="s">
        <v>1475</v>
      </c>
      <c r="F182" s="62"/>
      <c r="G182" s="114" t="s">
        <v>341</v>
      </c>
    </row>
    <row r="183" spans="2:8" ht="246.5" outlineLevel="1" x14ac:dyDescent="0.35">
      <c r="B183" s="2"/>
      <c r="C183" s="2"/>
      <c r="D183" s="2" t="s">
        <v>911</v>
      </c>
      <c r="E183" s="2" t="s">
        <v>3990</v>
      </c>
      <c r="F183" s="62"/>
      <c r="G183" s="114" t="s">
        <v>341</v>
      </c>
    </row>
    <row r="184" spans="2:8" x14ac:dyDescent="0.35">
      <c r="B184" s="2"/>
      <c r="C184" s="2"/>
      <c r="D184" s="75" t="s">
        <v>912</v>
      </c>
      <c r="E184" s="2"/>
      <c r="F184" s="62"/>
      <c r="G184" s="119"/>
    </row>
    <row r="185" spans="2:8" ht="116" outlineLevel="1" x14ac:dyDescent="0.35">
      <c r="B185" s="2"/>
      <c r="C185" s="2"/>
      <c r="D185" s="2" t="s">
        <v>3568</v>
      </c>
      <c r="E185" s="2" t="s">
        <v>3955</v>
      </c>
      <c r="F185" s="62"/>
      <c r="G185" s="114" t="s">
        <v>341</v>
      </c>
    </row>
    <row r="186" spans="2:8" ht="217.5" outlineLevel="1" x14ac:dyDescent="0.35">
      <c r="B186" s="2"/>
      <c r="C186" s="2"/>
      <c r="D186" s="2" t="s">
        <v>3569</v>
      </c>
      <c r="E186" s="2" t="s">
        <v>3989</v>
      </c>
      <c r="F186" s="62"/>
      <c r="G186" s="114" t="s">
        <v>341</v>
      </c>
    </row>
    <row r="187" spans="2:8" x14ac:dyDescent="0.35">
      <c r="B187" s="2"/>
      <c r="C187" s="2"/>
      <c r="D187" s="75" t="s">
        <v>914</v>
      </c>
      <c r="E187" s="2"/>
      <c r="F187" s="62"/>
      <c r="G187" s="29"/>
    </row>
    <row r="188" spans="2:8" ht="174" outlineLevel="1" x14ac:dyDescent="0.35">
      <c r="B188" s="1"/>
      <c r="C188" s="1"/>
      <c r="D188" s="2" t="s">
        <v>915</v>
      </c>
      <c r="E188" s="2" t="s">
        <v>3953</v>
      </c>
      <c r="F188" s="62"/>
      <c r="G188" s="114" t="s">
        <v>341</v>
      </c>
    </row>
    <row r="189" spans="2:8" ht="205" customHeight="1" outlineLevel="1" x14ac:dyDescent="0.35">
      <c r="B189" s="1"/>
      <c r="C189" s="1"/>
      <c r="D189" s="2" t="s">
        <v>916</v>
      </c>
      <c r="E189" s="2" t="s">
        <v>3988</v>
      </c>
      <c r="F189" s="62"/>
      <c r="G189" s="114" t="s">
        <v>341</v>
      </c>
    </row>
    <row r="190" spans="2:8" ht="29" x14ac:dyDescent="0.35">
      <c r="B190" s="2"/>
      <c r="C190" s="77" t="s">
        <v>3595</v>
      </c>
      <c r="D190" s="2"/>
      <c r="E190" s="2"/>
      <c r="F190" s="62"/>
      <c r="G190" s="23">
        <f>COUNTIF(G192:G245,"Yes")</f>
        <v>45</v>
      </c>
      <c r="H190" s="74"/>
    </row>
    <row r="191" spans="2:8" x14ac:dyDescent="0.35">
      <c r="B191" s="2"/>
      <c r="C191" s="77"/>
      <c r="D191" s="75" t="s">
        <v>208</v>
      </c>
      <c r="E191" s="2"/>
      <c r="F191" s="62"/>
      <c r="G191" s="29"/>
    </row>
    <row r="192" spans="2:8" ht="58" outlineLevel="1" x14ac:dyDescent="0.35">
      <c r="B192" s="2"/>
      <c r="C192" s="2"/>
      <c r="D192" s="2" t="s">
        <v>3570</v>
      </c>
      <c r="E192" s="2" t="s">
        <v>785</v>
      </c>
      <c r="F192" s="62"/>
      <c r="G192" s="114" t="s">
        <v>341</v>
      </c>
    </row>
    <row r="193" spans="2:7" ht="58" outlineLevel="1" x14ac:dyDescent="0.35">
      <c r="B193" s="2"/>
      <c r="C193" s="2"/>
      <c r="D193" s="2" t="s">
        <v>2254</v>
      </c>
      <c r="E193" s="2" t="s">
        <v>2278</v>
      </c>
      <c r="F193" s="62"/>
      <c r="G193" s="114" t="s">
        <v>341</v>
      </c>
    </row>
    <row r="194" spans="2:7" ht="29" outlineLevel="1" x14ac:dyDescent="0.35">
      <c r="B194" s="2"/>
      <c r="C194" s="2"/>
      <c r="D194" s="2" t="s">
        <v>2957</v>
      </c>
      <c r="E194" s="2" t="s">
        <v>595</v>
      </c>
      <c r="F194" s="62"/>
      <c r="G194" s="114" t="s">
        <v>341</v>
      </c>
    </row>
    <row r="195" spans="2:7" ht="29" outlineLevel="1" x14ac:dyDescent="0.35">
      <c r="B195" s="2"/>
      <c r="C195" s="2"/>
      <c r="D195" s="2" t="s">
        <v>34</v>
      </c>
      <c r="E195" s="2" t="s">
        <v>596</v>
      </c>
      <c r="F195" s="62"/>
      <c r="G195" s="114" t="s">
        <v>341</v>
      </c>
    </row>
    <row r="196" spans="2:7" ht="43.5" outlineLevel="1" x14ac:dyDescent="0.35">
      <c r="B196" s="2"/>
      <c r="C196" s="2"/>
      <c r="D196" s="2" t="s">
        <v>3571</v>
      </c>
      <c r="E196" s="2" t="s">
        <v>1902</v>
      </c>
      <c r="F196" s="62"/>
      <c r="G196" s="114" t="s">
        <v>341</v>
      </c>
    </row>
    <row r="197" spans="2:7" ht="58" outlineLevel="1" x14ac:dyDescent="0.35">
      <c r="B197" s="2"/>
      <c r="C197" s="2"/>
      <c r="D197" s="2" t="s">
        <v>35</v>
      </c>
      <c r="E197" s="2" t="s">
        <v>1858</v>
      </c>
      <c r="F197" s="62"/>
      <c r="G197" s="114" t="s">
        <v>341</v>
      </c>
    </row>
    <row r="198" spans="2:7" ht="58" outlineLevel="1" x14ac:dyDescent="0.35">
      <c r="B198" s="2"/>
      <c r="C198" s="2"/>
      <c r="D198" s="2" t="s">
        <v>385</v>
      </c>
      <c r="E198" s="2" t="s">
        <v>1903</v>
      </c>
      <c r="F198" s="62"/>
      <c r="G198" s="114" t="s">
        <v>341</v>
      </c>
    </row>
    <row r="199" spans="2:7" x14ac:dyDescent="0.35">
      <c r="B199" s="2"/>
      <c r="C199" s="2"/>
      <c r="D199" s="75" t="s">
        <v>209</v>
      </c>
      <c r="E199" s="2"/>
      <c r="F199" s="62"/>
      <c r="G199" s="29"/>
    </row>
    <row r="200" spans="2:7" outlineLevel="1" x14ac:dyDescent="0.35">
      <c r="B200" s="2"/>
      <c r="C200" s="2"/>
      <c r="D200" s="75" t="s">
        <v>2039</v>
      </c>
      <c r="E200" s="2"/>
      <c r="F200" s="62"/>
      <c r="G200" s="119"/>
    </row>
    <row r="201" spans="2:7" ht="86.5" customHeight="1" outlineLevel="1" x14ac:dyDescent="0.35">
      <c r="B201" s="2"/>
      <c r="C201" s="2"/>
      <c r="D201" s="2" t="s">
        <v>36</v>
      </c>
      <c r="E201" s="2" t="s">
        <v>1875</v>
      </c>
      <c r="F201" s="62"/>
      <c r="G201" s="114" t="s">
        <v>341</v>
      </c>
    </row>
    <row r="202" spans="2:7" ht="72.5" outlineLevel="1" x14ac:dyDescent="0.35">
      <c r="B202" s="2"/>
      <c r="C202" s="2"/>
      <c r="D202" s="2" t="s">
        <v>37</v>
      </c>
      <c r="E202" s="2" t="s">
        <v>1890</v>
      </c>
      <c r="F202" s="62"/>
      <c r="G202" s="114" t="s">
        <v>341</v>
      </c>
    </row>
    <row r="203" spans="2:7" ht="87" outlineLevel="1" x14ac:dyDescent="0.35">
      <c r="B203" s="2"/>
      <c r="C203" s="2"/>
      <c r="D203" s="2" t="s">
        <v>38</v>
      </c>
      <c r="E203" s="2" t="s">
        <v>1891</v>
      </c>
      <c r="F203" s="62"/>
      <c r="G203" s="114" t="s">
        <v>341</v>
      </c>
    </row>
    <row r="204" spans="2:7" ht="132" customHeight="1" outlineLevel="1" x14ac:dyDescent="0.35">
      <c r="B204" s="2"/>
      <c r="C204" s="2"/>
      <c r="D204" s="2" t="s">
        <v>3306</v>
      </c>
      <c r="E204" s="2" t="s">
        <v>3325</v>
      </c>
      <c r="F204" s="62"/>
      <c r="G204" s="114" t="s">
        <v>341</v>
      </c>
    </row>
    <row r="205" spans="2:7" ht="232" outlineLevel="1" x14ac:dyDescent="0.35">
      <c r="B205" s="2"/>
      <c r="C205" s="2"/>
      <c r="D205" s="2" t="s">
        <v>855</v>
      </c>
      <c r="E205" s="2" t="s">
        <v>3980</v>
      </c>
      <c r="F205" s="62"/>
      <c r="G205" s="114" t="s">
        <v>341</v>
      </c>
    </row>
    <row r="206" spans="2:7" ht="132.5" customHeight="1" outlineLevel="1" x14ac:dyDescent="0.35">
      <c r="B206" s="2"/>
      <c r="C206" s="2"/>
      <c r="D206" s="2" t="s">
        <v>3257</v>
      </c>
      <c r="E206" s="2" t="s">
        <v>3258</v>
      </c>
      <c r="F206" s="62"/>
      <c r="G206" s="114" t="s">
        <v>341</v>
      </c>
    </row>
    <row r="207" spans="2:7" outlineLevel="1" x14ac:dyDescent="0.35">
      <c r="B207" s="2"/>
      <c r="C207" s="2"/>
      <c r="D207" s="75" t="s">
        <v>2040</v>
      </c>
      <c r="E207" s="2"/>
      <c r="F207" s="62"/>
      <c r="G207" s="119"/>
    </row>
    <row r="208" spans="2:7" ht="203" outlineLevel="1" x14ac:dyDescent="0.35">
      <c r="B208" s="2"/>
      <c r="C208" s="2"/>
      <c r="D208" s="2" t="s">
        <v>1766</v>
      </c>
      <c r="E208" s="2" t="s">
        <v>3973</v>
      </c>
      <c r="F208" s="62"/>
      <c r="G208" s="114" t="s">
        <v>341</v>
      </c>
    </row>
    <row r="209" spans="2:7" ht="217.5" outlineLevel="1" x14ac:dyDescent="0.35">
      <c r="B209" s="2"/>
      <c r="C209" s="2"/>
      <c r="D209" s="2" t="s">
        <v>3572</v>
      </c>
      <c r="E209" s="2" t="s">
        <v>1799</v>
      </c>
      <c r="F209" s="62"/>
      <c r="G209" s="114" t="s">
        <v>341</v>
      </c>
    </row>
    <row r="210" spans="2:7" ht="58" outlineLevel="1" x14ac:dyDescent="0.35">
      <c r="B210" s="2"/>
      <c r="C210" s="2"/>
      <c r="D210" s="2" t="s">
        <v>1791</v>
      </c>
      <c r="E210" s="2" t="s">
        <v>1829</v>
      </c>
      <c r="F210" s="62"/>
      <c r="G210" s="114" t="s">
        <v>341</v>
      </c>
    </row>
    <row r="211" spans="2:7" ht="159.5" outlineLevel="1" x14ac:dyDescent="0.35">
      <c r="B211" s="2"/>
      <c r="C211" s="2"/>
      <c r="D211" s="2" t="s">
        <v>1767</v>
      </c>
      <c r="E211" s="2" t="s">
        <v>3974</v>
      </c>
      <c r="F211" s="62"/>
      <c r="G211" s="114" t="s">
        <v>341</v>
      </c>
    </row>
    <row r="212" spans="2:7" ht="130.5" outlineLevel="1" x14ac:dyDescent="0.35">
      <c r="B212" s="2"/>
      <c r="C212" s="2"/>
      <c r="D212" s="2" t="s">
        <v>1854</v>
      </c>
      <c r="E212" s="2" t="s">
        <v>3975</v>
      </c>
      <c r="F212" s="62"/>
      <c r="G212" s="114" t="s">
        <v>341</v>
      </c>
    </row>
    <row r="213" spans="2:7" ht="72.5" outlineLevel="1" x14ac:dyDescent="0.35">
      <c r="B213" s="2"/>
      <c r="C213" s="2"/>
      <c r="D213" s="2" t="s">
        <v>1769</v>
      </c>
      <c r="E213" s="2" t="s">
        <v>1794</v>
      </c>
      <c r="F213" s="62"/>
      <c r="G213" s="114" t="s">
        <v>341</v>
      </c>
    </row>
    <row r="214" spans="2:7" ht="145" outlineLevel="1" x14ac:dyDescent="0.35">
      <c r="B214" s="2"/>
      <c r="C214" s="2"/>
      <c r="D214" s="2" t="s">
        <v>1768</v>
      </c>
      <c r="E214" s="2" t="s">
        <v>3992</v>
      </c>
      <c r="F214" s="62"/>
      <c r="G214" s="114" t="s">
        <v>341</v>
      </c>
    </row>
    <row r="215" spans="2:7" outlineLevel="1" x14ac:dyDescent="0.35">
      <c r="B215" s="2"/>
      <c r="C215" s="2"/>
      <c r="D215" s="75" t="s">
        <v>2041</v>
      </c>
      <c r="E215" s="2"/>
      <c r="F215" s="62"/>
      <c r="G215" s="119"/>
    </row>
    <row r="216" spans="2:7" ht="72.5" outlineLevel="1" x14ac:dyDescent="0.35">
      <c r="B216" s="2"/>
      <c r="C216" s="2"/>
      <c r="D216" s="120" t="s">
        <v>1984</v>
      </c>
      <c r="E216" s="2" t="s">
        <v>2006</v>
      </c>
      <c r="F216" s="62"/>
      <c r="G216" s="114" t="s">
        <v>341</v>
      </c>
    </row>
    <row r="217" spans="2:7" ht="72.5" outlineLevel="1" x14ac:dyDescent="0.35">
      <c r="B217" s="2"/>
      <c r="C217" s="2"/>
      <c r="D217" s="2" t="s">
        <v>1985</v>
      </c>
      <c r="E217" s="2" t="s">
        <v>3218</v>
      </c>
      <c r="F217" s="62"/>
      <c r="G217" s="114" t="s">
        <v>341</v>
      </c>
    </row>
    <row r="218" spans="2:7" ht="43.5" outlineLevel="1" x14ac:dyDescent="0.35">
      <c r="B218" s="2"/>
      <c r="C218" s="2"/>
      <c r="D218" s="2" t="s">
        <v>1986</v>
      </c>
      <c r="E218" s="2" t="s">
        <v>2007</v>
      </c>
      <c r="F218" s="62"/>
      <c r="G218" s="114" t="s">
        <v>341</v>
      </c>
    </row>
    <row r="219" spans="2:7" outlineLevel="1" x14ac:dyDescent="0.35">
      <c r="B219" s="2"/>
      <c r="C219" s="2"/>
      <c r="D219" s="75" t="s">
        <v>4486</v>
      </c>
      <c r="E219" s="2"/>
      <c r="F219" s="62"/>
      <c r="G219" s="119"/>
    </row>
    <row r="220" spans="2:7" ht="159.5" outlineLevel="1" x14ac:dyDescent="0.35">
      <c r="B220" s="2"/>
      <c r="C220" s="2"/>
      <c r="D220" s="2" t="s">
        <v>4485</v>
      </c>
      <c r="E220" s="2" t="s">
        <v>4638</v>
      </c>
      <c r="F220" s="62"/>
      <c r="G220" s="114" t="s">
        <v>341</v>
      </c>
    </row>
    <row r="221" spans="2:7" ht="87" outlineLevel="1" x14ac:dyDescent="0.35">
      <c r="B221" s="2"/>
      <c r="C221" s="2"/>
      <c r="D221" s="2" t="s">
        <v>5200</v>
      </c>
      <c r="E221" s="2" t="s">
        <v>5201</v>
      </c>
      <c r="F221" s="62"/>
      <c r="G221" s="114" t="s">
        <v>341</v>
      </c>
    </row>
    <row r="222" spans="2:7" x14ac:dyDescent="0.35">
      <c r="B222" s="2"/>
      <c r="C222" s="2"/>
      <c r="D222" s="75" t="s">
        <v>597</v>
      </c>
      <c r="E222" s="2"/>
      <c r="F222" s="62"/>
      <c r="G222" s="29"/>
    </row>
    <row r="223" spans="2:7" outlineLevel="1" x14ac:dyDescent="0.35">
      <c r="B223" s="2"/>
      <c r="C223" s="2"/>
      <c r="D223" s="2" t="s">
        <v>1557</v>
      </c>
      <c r="E223" s="2" t="s">
        <v>59</v>
      </c>
      <c r="F223" s="62"/>
      <c r="G223" s="114" t="s">
        <v>341</v>
      </c>
    </row>
    <row r="224" spans="2:7" ht="29" outlineLevel="1" x14ac:dyDescent="0.35">
      <c r="B224" s="2"/>
      <c r="C224" s="2"/>
      <c r="D224" s="2" t="s">
        <v>1559</v>
      </c>
      <c r="E224" s="2" t="s">
        <v>60</v>
      </c>
      <c r="F224" s="62"/>
      <c r="G224" s="114" t="s">
        <v>341</v>
      </c>
    </row>
    <row r="225" spans="2:7" outlineLevel="1" x14ac:dyDescent="0.35">
      <c r="B225" s="2"/>
      <c r="C225" s="2"/>
      <c r="D225" s="2" t="s">
        <v>349</v>
      </c>
      <c r="E225" s="2" t="s">
        <v>350</v>
      </c>
      <c r="F225" s="62"/>
      <c r="G225" s="114" t="s">
        <v>341</v>
      </c>
    </row>
    <row r="226" spans="2:7" ht="43.5" outlineLevel="1" collapsed="1" x14ac:dyDescent="0.35">
      <c r="B226" s="2"/>
      <c r="C226" s="2"/>
      <c r="D226" s="2" t="s">
        <v>3596</v>
      </c>
      <c r="E226" s="2" t="s">
        <v>1906</v>
      </c>
      <c r="F226" s="62"/>
      <c r="G226" s="114" t="s">
        <v>341</v>
      </c>
    </row>
    <row r="227" spans="2:7" ht="58" outlineLevel="1" x14ac:dyDescent="0.35">
      <c r="B227" s="2"/>
      <c r="C227" s="2"/>
      <c r="D227" s="2" t="s">
        <v>351</v>
      </c>
      <c r="E227" s="2" t="s">
        <v>352</v>
      </c>
      <c r="F227" s="62"/>
      <c r="G227" s="114" t="s">
        <v>341</v>
      </c>
    </row>
    <row r="228" spans="2:7" ht="43.5" outlineLevel="1" x14ac:dyDescent="0.35">
      <c r="B228" s="2"/>
      <c r="C228" s="2"/>
      <c r="D228" s="2" t="s">
        <v>642</v>
      </c>
      <c r="E228" s="2" t="s">
        <v>1479</v>
      </c>
      <c r="F228" s="62"/>
      <c r="G228" s="114" t="s">
        <v>341</v>
      </c>
    </row>
    <row r="229" spans="2:7" ht="29" outlineLevel="1" x14ac:dyDescent="0.35">
      <c r="B229" s="2"/>
      <c r="C229" s="2"/>
      <c r="D229" s="2" t="s">
        <v>1561</v>
      </c>
      <c r="E229" s="2" t="s">
        <v>1910</v>
      </c>
      <c r="F229" s="62"/>
      <c r="G229" s="114" t="s">
        <v>341</v>
      </c>
    </row>
    <row r="230" spans="2:7" ht="43.5" outlineLevel="1" x14ac:dyDescent="0.35">
      <c r="B230" s="2"/>
      <c r="C230" s="2"/>
      <c r="D230" s="2" t="s">
        <v>1562</v>
      </c>
      <c r="E230" s="2" t="s">
        <v>1912</v>
      </c>
      <c r="F230" s="62"/>
      <c r="G230" s="114" t="s">
        <v>341</v>
      </c>
    </row>
    <row r="231" spans="2:7" ht="116" outlineLevel="1" x14ac:dyDescent="0.35">
      <c r="B231" s="2"/>
      <c r="C231" s="2"/>
      <c r="D231" s="2" t="s">
        <v>210</v>
      </c>
      <c r="E231" s="177" t="s">
        <v>4646</v>
      </c>
      <c r="F231" s="62"/>
      <c r="G231" s="114" t="s">
        <v>341</v>
      </c>
    </row>
    <row r="232" spans="2:7" ht="116" outlineLevel="1" x14ac:dyDescent="0.35">
      <c r="B232" s="2"/>
      <c r="C232" s="2"/>
      <c r="D232" s="2" t="s">
        <v>2947</v>
      </c>
      <c r="E232" s="2" t="s">
        <v>3205</v>
      </c>
      <c r="F232" s="62"/>
      <c r="G232" s="114" t="s">
        <v>341</v>
      </c>
    </row>
    <row r="233" spans="2:7" ht="29" outlineLevel="1" x14ac:dyDescent="0.35">
      <c r="B233" s="2"/>
      <c r="C233" s="2"/>
      <c r="D233" s="2" t="s">
        <v>646</v>
      </c>
      <c r="E233" s="2" t="s">
        <v>786</v>
      </c>
      <c r="F233" s="62"/>
      <c r="G233" s="114" t="s">
        <v>341</v>
      </c>
    </row>
    <row r="234" spans="2:7" x14ac:dyDescent="0.35">
      <c r="B234" s="2"/>
      <c r="C234" s="2"/>
      <c r="D234" s="75" t="s">
        <v>598</v>
      </c>
      <c r="E234" s="2"/>
      <c r="F234" s="62"/>
      <c r="G234" s="29"/>
    </row>
    <row r="235" spans="2:7" ht="29" outlineLevel="1" x14ac:dyDescent="0.35">
      <c r="B235" s="2"/>
      <c r="C235" s="2"/>
      <c r="D235" s="2" t="s">
        <v>1555</v>
      </c>
      <c r="E235" s="2" t="s">
        <v>759</v>
      </c>
      <c r="F235" s="62"/>
      <c r="G235" s="114" t="s">
        <v>341</v>
      </c>
    </row>
    <row r="236" spans="2:7" ht="43.5" outlineLevel="1" x14ac:dyDescent="0.35">
      <c r="B236" s="2"/>
      <c r="C236" s="2"/>
      <c r="D236" s="2" t="s">
        <v>1556</v>
      </c>
      <c r="E236" s="2" t="s">
        <v>2535</v>
      </c>
      <c r="F236" s="62"/>
      <c r="G236" s="114" t="s">
        <v>341</v>
      </c>
    </row>
    <row r="237" spans="2:7" ht="29" outlineLevel="1" x14ac:dyDescent="0.35">
      <c r="B237" s="2"/>
      <c r="C237" s="2"/>
      <c r="D237" s="2" t="s">
        <v>599</v>
      </c>
      <c r="E237" s="2" t="s">
        <v>657</v>
      </c>
      <c r="F237" s="62"/>
      <c r="G237" s="114" t="s">
        <v>341</v>
      </c>
    </row>
    <row r="238" spans="2:7" ht="43.5" outlineLevel="1" x14ac:dyDescent="0.35">
      <c r="B238" s="2"/>
      <c r="C238" s="2"/>
      <c r="D238" s="2" t="s">
        <v>3573</v>
      </c>
      <c r="E238" s="2" t="s">
        <v>1918</v>
      </c>
      <c r="F238" s="62"/>
      <c r="G238" s="114" t="s">
        <v>341</v>
      </c>
    </row>
    <row r="239" spans="2:7" x14ac:dyDescent="0.35">
      <c r="B239" s="2"/>
      <c r="C239" s="2"/>
      <c r="D239" s="75" t="s">
        <v>600</v>
      </c>
      <c r="E239" s="2"/>
      <c r="F239" s="62"/>
      <c r="G239" s="29"/>
    </row>
    <row r="240" spans="2:7" ht="29" outlineLevel="1" x14ac:dyDescent="0.35">
      <c r="B240" s="2"/>
      <c r="C240" s="2"/>
      <c r="D240" s="2" t="s">
        <v>265</v>
      </c>
      <c r="E240" s="2" t="s">
        <v>964</v>
      </c>
      <c r="F240" s="62"/>
      <c r="G240" s="114" t="s">
        <v>341</v>
      </c>
    </row>
    <row r="241" spans="2:8" ht="43.5" outlineLevel="1" x14ac:dyDescent="0.35">
      <c r="B241" s="2"/>
      <c r="C241" s="2"/>
      <c r="D241" s="2" t="s">
        <v>266</v>
      </c>
      <c r="E241" s="2" t="s">
        <v>2961</v>
      </c>
      <c r="F241" s="62"/>
      <c r="G241" s="114" t="s">
        <v>341</v>
      </c>
    </row>
    <row r="242" spans="2:8" x14ac:dyDescent="0.35">
      <c r="B242" s="2"/>
      <c r="C242" s="2"/>
      <c r="D242" s="75" t="s">
        <v>601</v>
      </c>
      <c r="E242" s="2"/>
      <c r="F242" s="62"/>
      <c r="G242" s="29"/>
    </row>
    <row r="243" spans="2:8" ht="29" outlineLevel="1" x14ac:dyDescent="0.35">
      <c r="B243" s="2"/>
      <c r="C243" s="2"/>
      <c r="D243" s="2" t="s">
        <v>3597</v>
      </c>
      <c r="E243" s="2" t="s">
        <v>217</v>
      </c>
      <c r="F243" s="62"/>
      <c r="G243" s="114" t="s">
        <v>341</v>
      </c>
    </row>
    <row r="244" spans="2:8" ht="29" outlineLevel="1" x14ac:dyDescent="0.35">
      <c r="B244" s="2"/>
      <c r="C244" s="2"/>
      <c r="D244" s="2" t="s">
        <v>3598</v>
      </c>
      <c r="E244" s="2" t="s">
        <v>2994</v>
      </c>
      <c r="F244" s="62"/>
      <c r="G244" s="114" t="s">
        <v>341</v>
      </c>
    </row>
    <row r="245" spans="2:8" ht="29" outlineLevel="1" x14ac:dyDescent="0.35">
      <c r="B245" s="2"/>
      <c r="C245" s="2"/>
      <c r="D245" s="2" t="s">
        <v>3599</v>
      </c>
      <c r="E245" s="2" t="s">
        <v>602</v>
      </c>
      <c r="F245" s="62"/>
      <c r="G245" s="114" t="s">
        <v>341</v>
      </c>
    </row>
    <row r="246" spans="2:8" x14ac:dyDescent="0.35">
      <c r="B246" s="2"/>
      <c r="C246" s="77" t="s">
        <v>892</v>
      </c>
      <c r="D246" s="2"/>
      <c r="E246" s="2"/>
      <c r="F246" s="62"/>
      <c r="G246" s="23">
        <f>COUNTIF(G247:G261,"Yes")</f>
        <v>9</v>
      </c>
      <c r="H246" s="74"/>
    </row>
    <row r="247" spans="2:8" x14ac:dyDescent="0.35">
      <c r="B247" s="2"/>
      <c r="C247" s="77"/>
      <c r="D247" s="75" t="s">
        <v>603</v>
      </c>
      <c r="E247" s="2"/>
      <c r="F247" s="62"/>
      <c r="G247" s="29"/>
    </row>
    <row r="248" spans="2:8" ht="58" outlineLevel="1" x14ac:dyDescent="0.35">
      <c r="B248" s="2"/>
      <c r="C248" s="2"/>
      <c r="D248" s="2" t="s">
        <v>1521</v>
      </c>
      <c r="E248" s="2" t="s">
        <v>1522</v>
      </c>
      <c r="F248" s="62"/>
      <c r="G248" s="114" t="s">
        <v>341</v>
      </c>
    </row>
    <row r="249" spans="2:8" ht="29" outlineLevel="1" x14ac:dyDescent="0.35">
      <c r="B249" s="2"/>
      <c r="C249" s="2"/>
      <c r="D249" s="2" t="s">
        <v>211</v>
      </c>
      <c r="E249" s="2" t="s">
        <v>57</v>
      </c>
      <c r="F249" s="62"/>
      <c r="G249" s="114" t="s">
        <v>341</v>
      </c>
    </row>
    <row r="250" spans="2:8" x14ac:dyDescent="0.35">
      <c r="B250" s="2"/>
      <c r="C250" s="2"/>
      <c r="D250" s="75" t="s">
        <v>212</v>
      </c>
      <c r="E250" s="2"/>
      <c r="F250" s="62"/>
      <c r="G250" s="29"/>
    </row>
    <row r="251" spans="2:8" ht="29" outlineLevel="1" x14ac:dyDescent="0.35">
      <c r="B251" s="2"/>
      <c r="C251" s="2"/>
      <c r="D251" s="2" t="s">
        <v>3600</v>
      </c>
      <c r="E251" s="2" t="s">
        <v>61</v>
      </c>
      <c r="F251" s="62"/>
      <c r="G251" s="114" t="s">
        <v>341</v>
      </c>
    </row>
    <row r="252" spans="2:8" x14ac:dyDescent="0.35">
      <c r="B252" s="2"/>
      <c r="C252" s="2"/>
      <c r="D252" s="75" t="s">
        <v>213</v>
      </c>
      <c r="E252" s="2"/>
      <c r="F252" s="62"/>
      <c r="G252" s="29"/>
    </row>
    <row r="253" spans="2:8" outlineLevel="1" x14ac:dyDescent="0.35">
      <c r="B253" s="2"/>
      <c r="C253" s="2"/>
      <c r="D253" s="2" t="s">
        <v>214</v>
      </c>
      <c r="E253" s="2" t="s">
        <v>604</v>
      </c>
      <c r="F253" s="62"/>
      <c r="G253" s="114" t="s">
        <v>341</v>
      </c>
    </row>
    <row r="254" spans="2:8" x14ac:dyDescent="0.35">
      <c r="B254" s="2"/>
      <c r="C254" s="2"/>
      <c r="D254" s="75" t="s">
        <v>215</v>
      </c>
      <c r="E254" s="2"/>
      <c r="F254" s="62"/>
      <c r="G254" s="29"/>
    </row>
    <row r="255" spans="2:8" ht="43.5" outlineLevel="1" x14ac:dyDescent="0.35">
      <c r="B255" s="2"/>
      <c r="C255" s="2"/>
      <c r="D255" s="2" t="s">
        <v>3574</v>
      </c>
      <c r="E255" s="2" t="s">
        <v>58</v>
      </c>
      <c r="F255" s="62"/>
      <c r="G255" s="114" t="s">
        <v>341</v>
      </c>
    </row>
    <row r="256" spans="2:8" x14ac:dyDescent="0.35">
      <c r="B256" s="2"/>
      <c r="C256" s="2"/>
      <c r="D256" s="75" t="s">
        <v>893</v>
      </c>
      <c r="E256" s="2"/>
      <c r="F256" s="62"/>
      <c r="G256" s="29"/>
    </row>
    <row r="257" spans="2:8" ht="29" outlineLevel="1" x14ac:dyDescent="0.35">
      <c r="B257" s="2"/>
      <c r="C257" s="2"/>
      <c r="D257" s="2" t="s">
        <v>386</v>
      </c>
      <c r="E257" s="2" t="s">
        <v>2998</v>
      </c>
      <c r="F257" s="62"/>
      <c r="G257" s="114" t="s">
        <v>341</v>
      </c>
    </row>
    <row r="258" spans="2:8" ht="43.5" outlineLevel="1" x14ac:dyDescent="0.35">
      <c r="B258" s="2"/>
      <c r="C258" s="2"/>
      <c r="D258" s="2" t="s">
        <v>216</v>
      </c>
      <c r="E258" s="2" t="s">
        <v>605</v>
      </c>
      <c r="F258" s="62"/>
      <c r="G258" s="114" t="s">
        <v>341</v>
      </c>
    </row>
    <row r="259" spans="2:8" x14ac:dyDescent="0.35">
      <c r="B259" s="2"/>
      <c r="C259" s="2"/>
      <c r="D259" s="75" t="s">
        <v>2903</v>
      </c>
      <c r="E259" s="2"/>
      <c r="F259" s="62"/>
      <c r="G259" s="29"/>
    </row>
    <row r="260" spans="2:8" ht="72.5" outlineLevel="1" x14ac:dyDescent="0.35">
      <c r="B260" s="2"/>
      <c r="C260" s="2"/>
      <c r="D260" s="2" t="s">
        <v>549</v>
      </c>
      <c r="E260" s="2" t="s">
        <v>787</v>
      </c>
      <c r="F260" s="62"/>
      <c r="G260" s="114" t="s">
        <v>341</v>
      </c>
    </row>
    <row r="261" spans="2:8" ht="43.5" outlineLevel="1" x14ac:dyDescent="0.35">
      <c r="B261" s="2"/>
      <c r="C261" s="2"/>
      <c r="D261" s="2" t="s">
        <v>3601</v>
      </c>
      <c r="E261" s="2" t="s">
        <v>548</v>
      </c>
      <c r="F261" s="62"/>
      <c r="G261" s="114" t="s">
        <v>341</v>
      </c>
    </row>
    <row r="262" spans="2:8" x14ac:dyDescent="0.35">
      <c r="B262" s="2"/>
      <c r="C262" s="77" t="s">
        <v>2904</v>
      </c>
      <c r="D262" s="2"/>
      <c r="E262" s="2"/>
      <c r="F262" s="62"/>
      <c r="G262" s="23">
        <f>COUNTIF(G264:G270,"Yes")</f>
        <v>5</v>
      </c>
      <c r="H262" s="74"/>
    </row>
    <row r="263" spans="2:8" x14ac:dyDescent="0.35">
      <c r="B263" s="2"/>
      <c r="C263" s="77"/>
      <c r="D263" s="75" t="s">
        <v>606</v>
      </c>
      <c r="E263" s="2"/>
      <c r="F263" s="62"/>
      <c r="G263" s="29"/>
    </row>
    <row r="264" spans="2:8" ht="29" outlineLevel="1" x14ac:dyDescent="0.35">
      <c r="B264" s="2"/>
      <c r="C264" s="2"/>
      <c r="D264" s="2" t="s">
        <v>3575</v>
      </c>
      <c r="E264" s="2" t="s">
        <v>218</v>
      </c>
      <c r="F264" s="62"/>
      <c r="G264" s="114" t="s">
        <v>341</v>
      </c>
    </row>
    <row r="265" spans="2:8" ht="29" outlineLevel="1" x14ac:dyDescent="0.35">
      <c r="B265" s="77"/>
      <c r="C265" s="77"/>
      <c r="D265" s="2" t="s">
        <v>52</v>
      </c>
      <c r="E265" s="2" t="s">
        <v>607</v>
      </c>
      <c r="F265" s="62"/>
      <c r="G265" s="114" t="s">
        <v>341</v>
      </c>
    </row>
    <row r="266" spans="2:8" x14ac:dyDescent="0.35">
      <c r="B266" s="77"/>
      <c r="C266" s="77"/>
      <c r="D266" s="75" t="s">
        <v>219</v>
      </c>
      <c r="E266" s="2"/>
      <c r="F266" s="62"/>
      <c r="G266" s="29"/>
    </row>
    <row r="267" spans="2:8" ht="58" outlineLevel="1" x14ac:dyDescent="0.35">
      <c r="B267" s="77"/>
      <c r="C267" s="77"/>
      <c r="D267" s="2" t="s">
        <v>546</v>
      </c>
      <c r="E267" s="2" t="s">
        <v>788</v>
      </c>
      <c r="F267" s="62"/>
      <c r="G267" s="114" t="s">
        <v>341</v>
      </c>
    </row>
    <row r="268" spans="2:8" ht="43.5" outlineLevel="1" x14ac:dyDescent="0.35">
      <c r="B268" s="2"/>
      <c r="C268" s="2"/>
      <c r="D268" s="2" t="s">
        <v>68</v>
      </c>
      <c r="E268" s="2" t="s">
        <v>789</v>
      </c>
      <c r="F268" s="62"/>
      <c r="G268" s="114" t="s">
        <v>341</v>
      </c>
    </row>
    <row r="269" spans="2:8" x14ac:dyDescent="0.35">
      <c r="B269" s="2"/>
      <c r="C269" s="2"/>
      <c r="D269" s="75" t="s">
        <v>220</v>
      </c>
      <c r="E269" s="2"/>
      <c r="F269" s="62"/>
      <c r="G269" s="29"/>
    </row>
    <row r="270" spans="2:8" ht="87" outlineLevel="1" x14ac:dyDescent="0.35">
      <c r="B270" s="2"/>
      <c r="C270" s="2"/>
      <c r="D270" s="2" t="s">
        <v>1215</v>
      </c>
      <c r="E270" s="2" t="s">
        <v>4889</v>
      </c>
      <c r="F270" s="62"/>
      <c r="G270" s="26" t="s">
        <v>341</v>
      </c>
    </row>
    <row r="271" spans="2:8" x14ac:dyDescent="0.35">
      <c r="B271" s="2"/>
      <c r="C271" s="77" t="s">
        <v>975</v>
      </c>
      <c r="D271" s="2"/>
      <c r="E271" s="2"/>
      <c r="F271" s="62"/>
      <c r="G271" s="23">
        <f>COUNTIF(G274:G399,"Yes")</f>
        <v>119</v>
      </c>
      <c r="H271" s="74"/>
    </row>
    <row r="272" spans="2:8" x14ac:dyDescent="0.35">
      <c r="B272" s="77"/>
      <c r="C272" s="77"/>
      <c r="D272" s="75" t="s">
        <v>976</v>
      </c>
      <c r="E272" s="2"/>
      <c r="F272" s="62"/>
      <c r="G272" s="29"/>
    </row>
    <row r="273" spans="2:7" outlineLevel="1" x14ac:dyDescent="0.35">
      <c r="B273" s="77"/>
      <c r="C273" s="77"/>
      <c r="D273" s="75" t="s">
        <v>1677</v>
      </c>
      <c r="E273" s="2"/>
      <c r="F273" s="62"/>
      <c r="G273" s="119"/>
    </row>
    <row r="274" spans="2:7" ht="43.5" outlineLevel="1" x14ac:dyDescent="0.35">
      <c r="B274" s="2"/>
      <c r="C274" s="2"/>
      <c r="D274" s="2" t="s">
        <v>1597</v>
      </c>
      <c r="E274" s="2" t="s">
        <v>977</v>
      </c>
      <c r="F274" s="62"/>
      <c r="G274" s="114" t="s">
        <v>341</v>
      </c>
    </row>
    <row r="275" spans="2:7" ht="43.5" outlineLevel="1" x14ac:dyDescent="0.35">
      <c r="B275" s="2"/>
      <c r="C275" s="2"/>
      <c r="D275" s="2" t="s">
        <v>3368</v>
      </c>
      <c r="E275" s="2" t="s">
        <v>3911</v>
      </c>
      <c r="F275" s="62"/>
      <c r="G275" s="114" t="s">
        <v>341</v>
      </c>
    </row>
    <row r="276" spans="2:7" ht="29" outlineLevel="1" x14ac:dyDescent="0.35">
      <c r="B276" s="2"/>
      <c r="C276" s="2"/>
      <c r="D276" s="2" t="s">
        <v>1599</v>
      </c>
      <c r="E276" s="2" t="s">
        <v>1471</v>
      </c>
      <c r="G276" s="114" t="s">
        <v>341</v>
      </c>
    </row>
    <row r="277" spans="2:7" ht="43.5" outlineLevel="1" x14ac:dyDescent="0.35">
      <c r="B277" s="2"/>
      <c r="C277" s="2"/>
      <c r="D277" s="1" t="s">
        <v>1604</v>
      </c>
      <c r="E277" s="2" t="s">
        <v>1860</v>
      </c>
      <c r="G277" s="114" t="s">
        <v>341</v>
      </c>
    </row>
    <row r="278" spans="2:7" ht="29" outlineLevel="1" x14ac:dyDescent="0.35">
      <c r="B278" s="2"/>
      <c r="C278" s="2"/>
      <c r="D278" s="2" t="s">
        <v>1605</v>
      </c>
      <c r="E278" s="2" t="s">
        <v>1798</v>
      </c>
      <c r="G278" s="114" t="s">
        <v>341</v>
      </c>
    </row>
    <row r="279" spans="2:7" ht="29" outlineLevel="1" x14ac:dyDescent="0.35">
      <c r="B279" s="2"/>
      <c r="C279" s="2"/>
      <c r="D279" s="2" t="s">
        <v>2795</v>
      </c>
      <c r="E279" s="2" t="s">
        <v>2796</v>
      </c>
      <c r="G279" s="114" t="s">
        <v>341</v>
      </c>
    </row>
    <row r="280" spans="2:7" ht="43.5" outlineLevel="1" x14ac:dyDescent="0.35">
      <c r="B280" s="2"/>
      <c r="C280" s="2"/>
      <c r="D280" s="1" t="s">
        <v>1606</v>
      </c>
      <c r="E280" s="2" t="s">
        <v>982</v>
      </c>
      <c r="G280" s="114" t="s">
        <v>341</v>
      </c>
    </row>
    <row r="281" spans="2:7" ht="29" outlineLevel="1" x14ac:dyDescent="0.35">
      <c r="B281" s="2"/>
      <c r="C281" s="2"/>
      <c r="D281" s="1" t="s">
        <v>1637</v>
      </c>
      <c r="E281" s="2" t="s">
        <v>1639</v>
      </c>
      <c r="G281" s="114" t="s">
        <v>341</v>
      </c>
    </row>
    <row r="282" spans="2:7" ht="29" outlineLevel="1" x14ac:dyDescent="0.35">
      <c r="B282" s="2"/>
      <c r="C282" s="2"/>
      <c r="D282" s="1" t="s">
        <v>1990</v>
      </c>
      <c r="E282" s="1" t="s">
        <v>2014</v>
      </c>
      <c r="G282" s="114" t="s">
        <v>341</v>
      </c>
    </row>
    <row r="283" spans="2:7" ht="43.5" outlineLevel="1" x14ac:dyDescent="0.35">
      <c r="B283" s="2"/>
      <c r="C283" s="2"/>
      <c r="D283" s="1" t="s">
        <v>1991</v>
      </c>
      <c r="E283" s="1" t="s">
        <v>2011</v>
      </c>
      <c r="G283" s="114" t="s">
        <v>341</v>
      </c>
    </row>
    <row r="284" spans="2:7" ht="29" outlineLevel="1" x14ac:dyDescent="0.35">
      <c r="B284" s="2"/>
      <c r="C284" s="2"/>
      <c r="D284" s="2" t="s">
        <v>1607</v>
      </c>
      <c r="E284" s="2" t="s">
        <v>1608</v>
      </c>
      <c r="G284" s="114" t="s">
        <v>341</v>
      </c>
    </row>
    <row r="285" spans="2:7" ht="43.5" outlineLevel="1" x14ac:dyDescent="0.35">
      <c r="B285" s="2"/>
      <c r="C285" s="2"/>
      <c r="D285" s="2" t="s">
        <v>1609</v>
      </c>
      <c r="E285" s="2" t="s">
        <v>3053</v>
      </c>
      <c r="G285" s="114" t="s">
        <v>341</v>
      </c>
    </row>
    <row r="286" spans="2:7" ht="43.5" outlineLevel="1" x14ac:dyDescent="0.35">
      <c r="B286" s="2"/>
      <c r="C286" s="2"/>
      <c r="D286" s="2" t="s">
        <v>1610</v>
      </c>
      <c r="E286" s="2" t="s">
        <v>984</v>
      </c>
      <c r="G286" s="114" t="s">
        <v>341</v>
      </c>
    </row>
    <row r="287" spans="2:7" ht="58" outlineLevel="1" x14ac:dyDescent="0.35">
      <c r="B287" s="2"/>
      <c r="C287" s="2"/>
      <c r="D287" s="2" t="s">
        <v>1635</v>
      </c>
      <c r="E287" s="2" t="s">
        <v>985</v>
      </c>
      <c r="G287" s="114" t="s">
        <v>341</v>
      </c>
    </row>
    <row r="288" spans="2:7" ht="72.5" outlineLevel="1" x14ac:dyDescent="0.35">
      <c r="B288" s="2"/>
      <c r="C288" s="2"/>
      <c r="D288" s="2" t="s">
        <v>4419</v>
      </c>
      <c r="E288" s="2" t="s">
        <v>4453</v>
      </c>
      <c r="G288" s="114" t="s">
        <v>341</v>
      </c>
    </row>
    <row r="289" spans="2:7" ht="29" outlineLevel="1" x14ac:dyDescent="0.35">
      <c r="B289" s="2"/>
      <c r="C289" s="2"/>
      <c r="D289" s="2" t="s">
        <v>2797</v>
      </c>
      <c r="E289" s="2" t="s">
        <v>2798</v>
      </c>
      <c r="G289" s="114" t="s">
        <v>341</v>
      </c>
    </row>
    <row r="290" spans="2:7" ht="43.5" outlineLevel="1" x14ac:dyDescent="0.35">
      <c r="B290" s="2"/>
      <c r="C290" s="2"/>
      <c r="D290" s="2" t="s">
        <v>1611</v>
      </c>
      <c r="E290" s="2" t="s">
        <v>987</v>
      </c>
      <c r="G290" s="114" t="s">
        <v>341</v>
      </c>
    </row>
    <row r="291" spans="2:7" ht="29" outlineLevel="1" x14ac:dyDescent="0.35">
      <c r="B291" s="2"/>
      <c r="C291" s="2"/>
      <c r="D291" s="2" t="s">
        <v>1806</v>
      </c>
      <c r="E291" s="2" t="s">
        <v>1807</v>
      </c>
      <c r="G291" s="114" t="s">
        <v>341</v>
      </c>
    </row>
    <row r="292" spans="2:7" ht="29" outlineLevel="1" x14ac:dyDescent="0.35">
      <c r="B292" s="2"/>
      <c r="C292" s="2"/>
      <c r="D292" s="2" t="s">
        <v>1638</v>
      </c>
      <c r="E292" s="2" t="s">
        <v>989</v>
      </c>
      <c r="G292" s="114" t="s">
        <v>341</v>
      </c>
    </row>
    <row r="293" spans="2:7" ht="130.5" outlineLevel="1" x14ac:dyDescent="0.35">
      <c r="B293" s="2"/>
      <c r="C293" s="2"/>
      <c r="D293" s="2" t="s">
        <v>2729</v>
      </c>
      <c r="E293" s="2" t="s">
        <v>1480</v>
      </c>
      <c r="G293" s="114" t="s">
        <v>341</v>
      </c>
    </row>
    <row r="294" spans="2:7" ht="43.5" outlineLevel="1" x14ac:dyDescent="0.35">
      <c r="B294" s="2"/>
      <c r="C294" s="2"/>
      <c r="D294" s="2" t="s">
        <v>2832</v>
      </c>
      <c r="E294" s="2" t="s">
        <v>1974</v>
      </c>
      <c r="G294" s="114" t="s">
        <v>341</v>
      </c>
    </row>
    <row r="295" spans="2:7" ht="43.5" outlineLevel="1" x14ac:dyDescent="0.35">
      <c r="B295" s="2"/>
      <c r="C295" s="2"/>
      <c r="D295" s="2" t="s">
        <v>2833</v>
      </c>
      <c r="E295" s="2" t="s">
        <v>1975</v>
      </c>
      <c r="G295" s="114" t="s">
        <v>341</v>
      </c>
    </row>
    <row r="296" spans="2:7" ht="29" outlineLevel="1" x14ac:dyDescent="0.35">
      <c r="B296" s="2"/>
      <c r="C296" s="2"/>
      <c r="D296" s="2" t="s">
        <v>2024</v>
      </c>
      <c r="E296" s="2" t="s">
        <v>2025</v>
      </c>
      <c r="G296" s="114" t="s">
        <v>341</v>
      </c>
    </row>
    <row r="297" spans="2:7" ht="58" outlineLevel="1" x14ac:dyDescent="0.35">
      <c r="B297" s="2"/>
      <c r="C297" s="2"/>
      <c r="D297" s="2" t="s">
        <v>4355</v>
      </c>
      <c r="E297" s="2" t="s">
        <v>4356</v>
      </c>
      <c r="G297" s="114" t="s">
        <v>341</v>
      </c>
    </row>
    <row r="298" spans="2:7" ht="43.5" outlineLevel="1" x14ac:dyDescent="0.35">
      <c r="B298" s="2"/>
      <c r="C298" s="2"/>
      <c r="D298" s="2" t="s">
        <v>2026</v>
      </c>
      <c r="E298" s="2" t="s">
        <v>2027</v>
      </c>
      <c r="G298" s="114" t="s">
        <v>341</v>
      </c>
    </row>
    <row r="299" spans="2:7" ht="58" outlineLevel="1" x14ac:dyDescent="0.35">
      <c r="B299" s="2"/>
      <c r="C299" s="2"/>
      <c r="D299" s="2" t="s">
        <v>2756</v>
      </c>
      <c r="E299" s="2" t="s">
        <v>2757</v>
      </c>
      <c r="G299" s="114" t="s">
        <v>341</v>
      </c>
    </row>
    <row r="300" spans="2:7" ht="58" outlineLevel="1" x14ac:dyDescent="0.35">
      <c r="B300" s="2"/>
      <c r="C300" s="2"/>
      <c r="D300" s="2" t="s">
        <v>1958</v>
      </c>
      <c r="E300" s="2" t="s">
        <v>1976</v>
      </c>
      <c r="G300" s="114" t="s">
        <v>341</v>
      </c>
    </row>
    <row r="301" spans="2:7" ht="43.5" outlineLevel="1" x14ac:dyDescent="0.35">
      <c r="B301" s="2"/>
      <c r="C301" s="2"/>
      <c r="D301" s="2" t="s">
        <v>3576</v>
      </c>
      <c r="E301" s="2" t="s">
        <v>1969</v>
      </c>
      <c r="G301" s="114" t="s">
        <v>341</v>
      </c>
    </row>
    <row r="302" spans="2:7" ht="43.5" outlineLevel="1" x14ac:dyDescent="0.35">
      <c r="B302" s="2"/>
      <c r="C302" s="2"/>
      <c r="D302" s="2" t="s">
        <v>1612</v>
      </c>
      <c r="E302" s="2" t="s">
        <v>992</v>
      </c>
      <c r="G302" s="114" t="s">
        <v>341</v>
      </c>
    </row>
    <row r="303" spans="2:7" ht="101.5" outlineLevel="1" x14ac:dyDescent="0.35">
      <c r="B303" s="2"/>
      <c r="C303" s="2"/>
      <c r="D303" s="168" t="s">
        <v>4390</v>
      </c>
      <c r="E303" s="2" t="s">
        <v>4393</v>
      </c>
      <c r="G303" s="114" t="s">
        <v>341</v>
      </c>
    </row>
    <row r="304" spans="2:7" ht="101.5" outlineLevel="1" x14ac:dyDescent="0.35">
      <c r="B304" s="2"/>
      <c r="C304" s="2"/>
      <c r="D304" s="168" t="s">
        <v>4391</v>
      </c>
      <c r="E304" s="2" t="s">
        <v>4394</v>
      </c>
      <c r="G304" s="114" t="s">
        <v>341</v>
      </c>
    </row>
    <row r="305" spans="2:7" ht="29" outlineLevel="1" x14ac:dyDescent="0.35">
      <c r="B305" s="2"/>
      <c r="C305" s="2"/>
      <c r="D305" s="166" t="s">
        <v>4392</v>
      </c>
      <c r="E305" s="2" t="s">
        <v>4438</v>
      </c>
      <c r="G305" s="114" t="s">
        <v>341</v>
      </c>
    </row>
    <row r="306" spans="2:7" outlineLevel="1" x14ac:dyDescent="0.35">
      <c r="B306" s="2"/>
      <c r="C306" s="2"/>
      <c r="D306" s="2" t="s">
        <v>2682</v>
      </c>
      <c r="E306" s="2" t="s">
        <v>2730</v>
      </c>
      <c r="G306" s="26" t="s">
        <v>341</v>
      </c>
    </row>
    <row r="307" spans="2:7" outlineLevel="1" x14ac:dyDescent="0.35">
      <c r="B307" s="2"/>
      <c r="C307" s="2"/>
      <c r="D307" s="2" t="s">
        <v>2397</v>
      </c>
      <c r="E307" s="2" t="s">
        <v>2403</v>
      </c>
      <c r="G307" s="26" t="s">
        <v>341</v>
      </c>
    </row>
    <row r="308" spans="2:7" outlineLevel="1" x14ac:dyDescent="0.35">
      <c r="B308" s="2"/>
      <c r="C308" s="2"/>
      <c r="D308" s="2" t="s">
        <v>2396</v>
      </c>
      <c r="E308" s="2" t="s">
        <v>2402</v>
      </c>
      <c r="G308" s="26" t="s">
        <v>341</v>
      </c>
    </row>
    <row r="309" spans="2:7" ht="29" outlineLevel="1" x14ac:dyDescent="0.35">
      <c r="B309" s="2"/>
      <c r="C309" s="2"/>
      <c r="D309" s="2" t="s">
        <v>3111</v>
      </c>
      <c r="E309" s="2" t="s">
        <v>3114</v>
      </c>
      <c r="G309" s="26" t="s">
        <v>341</v>
      </c>
    </row>
    <row r="310" spans="2:7" ht="29" outlineLevel="1" x14ac:dyDescent="0.35">
      <c r="B310" s="2"/>
      <c r="C310" s="2"/>
      <c r="D310" s="2" t="s">
        <v>3577</v>
      </c>
      <c r="E310" s="2" t="s">
        <v>3128</v>
      </c>
      <c r="G310" s="26" t="s">
        <v>341</v>
      </c>
    </row>
    <row r="311" spans="2:7" ht="29" outlineLevel="1" x14ac:dyDescent="0.35">
      <c r="B311" s="2"/>
      <c r="C311" s="2"/>
      <c r="D311" s="2" t="s">
        <v>3129</v>
      </c>
      <c r="E311" s="2" t="s">
        <v>3130</v>
      </c>
      <c r="G311" s="26" t="s">
        <v>341</v>
      </c>
    </row>
    <row r="312" spans="2:7" ht="29" outlineLevel="1" x14ac:dyDescent="0.35">
      <c r="B312" s="2"/>
      <c r="C312" s="2"/>
      <c r="D312" s="2" t="s">
        <v>3112</v>
      </c>
      <c r="E312" s="2" t="s">
        <v>3115</v>
      </c>
      <c r="G312" s="26" t="s">
        <v>341</v>
      </c>
    </row>
    <row r="313" spans="2:7" outlineLevel="1" x14ac:dyDescent="0.35">
      <c r="B313" s="2"/>
      <c r="C313" s="2"/>
      <c r="D313" s="2" t="s">
        <v>3113</v>
      </c>
      <c r="E313" s="2" t="s">
        <v>3116</v>
      </c>
      <c r="G313" s="26" t="s">
        <v>341</v>
      </c>
    </row>
    <row r="314" spans="2:7" outlineLevel="1" x14ac:dyDescent="0.35">
      <c r="B314" s="2"/>
      <c r="C314" s="2"/>
      <c r="D314" s="2" t="s">
        <v>2401</v>
      </c>
      <c r="E314" s="2" t="s">
        <v>2407</v>
      </c>
      <c r="G314" s="26" t="s">
        <v>341</v>
      </c>
    </row>
    <row r="315" spans="2:7" outlineLevel="1" x14ac:dyDescent="0.35">
      <c r="B315" s="2"/>
      <c r="C315" s="2"/>
      <c r="D315" s="2" t="s">
        <v>2398</v>
      </c>
      <c r="E315" s="2" t="s">
        <v>2404</v>
      </c>
      <c r="G315" s="26" t="s">
        <v>341</v>
      </c>
    </row>
    <row r="316" spans="2:7" outlineLevel="1" x14ac:dyDescent="0.35">
      <c r="B316" s="2"/>
      <c r="C316" s="2"/>
      <c r="D316" s="2" t="s">
        <v>2400</v>
      </c>
      <c r="E316" s="2" t="s">
        <v>2406</v>
      </c>
      <c r="G316" s="26" t="s">
        <v>341</v>
      </c>
    </row>
    <row r="317" spans="2:7" outlineLevel="1" x14ac:dyDescent="0.35">
      <c r="B317" s="2"/>
      <c r="C317" s="2"/>
      <c r="D317" s="2" t="s">
        <v>2399</v>
      </c>
      <c r="E317" s="2" t="s">
        <v>2405</v>
      </c>
      <c r="G317" s="26" t="s">
        <v>341</v>
      </c>
    </row>
    <row r="318" spans="2:7" outlineLevel="1" x14ac:dyDescent="0.35">
      <c r="B318" s="77"/>
      <c r="C318" s="77"/>
      <c r="D318" s="75" t="s">
        <v>1678</v>
      </c>
      <c r="E318" s="2"/>
      <c r="F318" s="62"/>
      <c r="G318" s="119"/>
    </row>
    <row r="319" spans="2:7" ht="29" outlineLevel="1" x14ac:dyDescent="0.35">
      <c r="B319" s="2"/>
      <c r="C319" s="2"/>
      <c r="D319" s="2" t="s">
        <v>2831</v>
      </c>
      <c r="E319" s="2" t="s">
        <v>978</v>
      </c>
      <c r="G319" s="114" t="s">
        <v>341</v>
      </c>
    </row>
    <row r="320" spans="2:7" ht="58" outlineLevel="1" x14ac:dyDescent="0.35">
      <c r="B320" s="2"/>
      <c r="C320" s="2"/>
      <c r="D320" s="2" t="s">
        <v>979</v>
      </c>
      <c r="E320" s="2" t="s">
        <v>1216</v>
      </c>
      <c r="G320" s="114" t="s">
        <v>341</v>
      </c>
    </row>
    <row r="321" spans="2:7" ht="43.5" outlineLevel="1" x14ac:dyDescent="0.35">
      <c r="B321" s="2"/>
      <c r="C321" s="2"/>
      <c r="D321" s="1" t="s">
        <v>980</v>
      </c>
      <c r="E321" s="2" t="s">
        <v>1860</v>
      </c>
      <c r="G321" s="114" t="s">
        <v>341</v>
      </c>
    </row>
    <row r="322" spans="2:7" ht="72.5" outlineLevel="1" x14ac:dyDescent="0.35">
      <c r="B322" s="2"/>
      <c r="C322" s="2"/>
      <c r="D322" s="2" t="s">
        <v>1180</v>
      </c>
      <c r="E322" s="2" t="s">
        <v>1472</v>
      </c>
      <c r="G322" s="114" t="s">
        <v>341</v>
      </c>
    </row>
    <row r="323" spans="2:7" ht="43.5" outlineLevel="1" x14ac:dyDescent="0.35">
      <c r="B323" s="2"/>
      <c r="C323" s="2"/>
      <c r="D323" s="1" t="s">
        <v>981</v>
      </c>
      <c r="E323" s="2" t="s">
        <v>982</v>
      </c>
      <c r="G323" s="114" t="s">
        <v>341</v>
      </c>
    </row>
    <row r="324" spans="2:7" ht="43.5" outlineLevel="1" x14ac:dyDescent="0.35">
      <c r="B324" s="2"/>
      <c r="C324" s="2"/>
      <c r="D324" s="2" t="s">
        <v>1178</v>
      </c>
      <c r="E324" s="2" t="s">
        <v>3053</v>
      </c>
      <c r="G324" s="114" t="s">
        <v>341</v>
      </c>
    </row>
    <row r="325" spans="2:7" ht="43.5" outlineLevel="1" x14ac:dyDescent="0.35">
      <c r="B325" s="2"/>
      <c r="C325" s="2"/>
      <c r="D325" s="2" t="s">
        <v>983</v>
      </c>
      <c r="E325" s="2" t="s">
        <v>984</v>
      </c>
      <c r="G325" s="114" t="s">
        <v>341</v>
      </c>
    </row>
    <row r="326" spans="2:7" ht="29" outlineLevel="1" x14ac:dyDescent="0.35">
      <c r="B326" s="2"/>
      <c r="C326" s="2"/>
      <c r="D326" s="2" t="s">
        <v>1184</v>
      </c>
      <c r="E326" s="2" t="s">
        <v>986</v>
      </c>
      <c r="G326" s="114" t="s">
        <v>341</v>
      </c>
    </row>
    <row r="327" spans="2:7" ht="29" outlineLevel="1" x14ac:dyDescent="0.35">
      <c r="B327" s="2"/>
      <c r="C327" s="2"/>
      <c r="D327" s="2" t="s">
        <v>988</v>
      </c>
      <c r="E327" s="2" t="s">
        <v>989</v>
      </c>
      <c r="G327" s="114" t="s">
        <v>341</v>
      </c>
    </row>
    <row r="328" spans="2:7" ht="130.5" outlineLevel="1" x14ac:dyDescent="0.35">
      <c r="B328" s="2"/>
      <c r="C328" s="2"/>
      <c r="D328" s="2" t="s">
        <v>990</v>
      </c>
      <c r="E328" s="2" t="s">
        <v>1480</v>
      </c>
      <c r="G328" s="114" t="s">
        <v>341</v>
      </c>
    </row>
    <row r="329" spans="2:7" ht="43.5" outlineLevel="1" x14ac:dyDescent="0.35">
      <c r="B329" s="2"/>
      <c r="C329" s="2"/>
      <c r="D329" s="2" t="s">
        <v>991</v>
      </c>
      <c r="E329" s="2" t="s">
        <v>992</v>
      </c>
      <c r="G329" s="114" t="s">
        <v>341</v>
      </c>
    </row>
    <row r="330" spans="2:7" x14ac:dyDescent="0.35">
      <c r="B330" s="77"/>
      <c r="C330" s="77"/>
      <c r="D330" s="75" t="s">
        <v>993</v>
      </c>
      <c r="E330" s="2"/>
      <c r="F330" s="62"/>
      <c r="G330" s="29"/>
    </row>
    <row r="331" spans="2:7" ht="29" outlineLevel="1" x14ac:dyDescent="0.35">
      <c r="B331" s="2"/>
      <c r="C331" s="2"/>
      <c r="D331" s="2" t="s">
        <v>1618</v>
      </c>
      <c r="E331" s="2" t="s">
        <v>1620</v>
      </c>
      <c r="G331" s="114" t="s">
        <v>341</v>
      </c>
    </row>
    <row r="332" spans="2:7" ht="29" outlineLevel="1" x14ac:dyDescent="0.35">
      <c r="B332" s="2"/>
      <c r="C332" s="2"/>
      <c r="D332" s="2" t="s">
        <v>1619</v>
      </c>
      <c r="E332" s="2" t="s">
        <v>994</v>
      </c>
      <c r="G332" s="114" t="s">
        <v>341</v>
      </c>
    </row>
    <row r="333" spans="2:7" ht="116" outlineLevel="1" x14ac:dyDescent="0.35">
      <c r="B333" s="2"/>
      <c r="C333" s="2"/>
      <c r="D333" s="2" t="s">
        <v>3602</v>
      </c>
      <c r="E333" s="2" t="s">
        <v>1927</v>
      </c>
      <c r="G333" s="114" t="s">
        <v>341</v>
      </c>
    </row>
    <row r="334" spans="2:7" ht="29" outlineLevel="1" x14ac:dyDescent="0.35">
      <c r="B334" s="2"/>
      <c r="C334" s="2"/>
      <c r="D334" s="2" t="s">
        <v>1673</v>
      </c>
      <c r="E334" s="2" t="s">
        <v>1666</v>
      </c>
      <c r="G334" s="114" t="s">
        <v>341</v>
      </c>
    </row>
    <row r="335" spans="2:7" ht="101.5" outlineLevel="1" x14ac:dyDescent="0.35">
      <c r="B335" s="2"/>
      <c r="C335" s="2"/>
      <c r="D335" s="2" t="s">
        <v>1598</v>
      </c>
      <c r="E335" s="2" t="s">
        <v>3914</v>
      </c>
      <c r="G335" s="114" t="s">
        <v>341</v>
      </c>
    </row>
    <row r="336" spans="2:7" ht="29" outlineLevel="1" x14ac:dyDescent="0.35">
      <c r="B336" s="2"/>
      <c r="C336" s="2"/>
      <c r="D336" s="2" t="s">
        <v>1667</v>
      </c>
      <c r="E336" s="2" t="s">
        <v>1711</v>
      </c>
      <c r="G336" s="114" t="s">
        <v>341</v>
      </c>
    </row>
    <row r="337" spans="2:7" outlineLevel="1" x14ac:dyDescent="0.35">
      <c r="B337" s="2"/>
      <c r="C337" s="2"/>
      <c r="D337" s="2" t="s">
        <v>1668</v>
      </c>
      <c r="E337" s="2" t="s">
        <v>1669</v>
      </c>
      <c r="G337" s="114" t="s">
        <v>341</v>
      </c>
    </row>
    <row r="338" spans="2:7" ht="29" outlineLevel="1" x14ac:dyDescent="0.35">
      <c r="B338" s="2"/>
      <c r="C338" s="2"/>
      <c r="D338" s="2" t="s">
        <v>1622</v>
      </c>
      <c r="E338" s="2" t="s">
        <v>1623</v>
      </c>
      <c r="G338" s="114" t="s">
        <v>341</v>
      </c>
    </row>
    <row r="339" spans="2:7" ht="72.5" outlineLevel="1" x14ac:dyDescent="0.35">
      <c r="B339" s="2"/>
      <c r="C339" s="2"/>
      <c r="D339" s="2" t="s">
        <v>1670</v>
      </c>
      <c r="E339" s="2" t="s">
        <v>1473</v>
      </c>
      <c r="G339" s="114" t="s">
        <v>341</v>
      </c>
    </row>
    <row r="340" spans="2:7" ht="43.5" outlineLevel="1" x14ac:dyDescent="0.35">
      <c r="B340" s="2"/>
      <c r="C340" s="2"/>
      <c r="D340" s="2" t="s">
        <v>1633</v>
      </c>
      <c r="E340" s="2" t="s">
        <v>1474</v>
      </c>
      <c r="G340" s="114" t="s">
        <v>341</v>
      </c>
    </row>
    <row r="341" spans="2:7" ht="72.5" outlineLevel="1" x14ac:dyDescent="0.35">
      <c r="B341" s="2"/>
      <c r="C341" s="2"/>
      <c r="D341" s="2" t="s">
        <v>1663</v>
      </c>
      <c r="E341" s="2" t="s">
        <v>1877</v>
      </c>
      <c r="G341" s="114" t="s">
        <v>341</v>
      </c>
    </row>
    <row r="342" spans="2:7" ht="174" outlineLevel="1" x14ac:dyDescent="0.35">
      <c r="B342" s="2"/>
      <c r="C342" s="2"/>
      <c r="D342" s="2" t="s">
        <v>1693</v>
      </c>
      <c r="E342" s="2" t="s">
        <v>1929</v>
      </c>
      <c r="G342" s="114" t="s">
        <v>341</v>
      </c>
    </row>
    <row r="343" spans="2:7" ht="43.5" outlineLevel="1" x14ac:dyDescent="0.35">
      <c r="B343" s="2"/>
      <c r="C343" s="2"/>
      <c r="D343" s="2" t="s">
        <v>1664</v>
      </c>
      <c r="E343" s="2" t="s">
        <v>995</v>
      </c>
      <c r="G343" s="114" t="s">
        <v>341</v>
      </c>
    </row>
    <row r="344" spans="2:7" ht="72.5" outlineLevel="1" x14ac:dyDescent="0.35">
      <c r="B344" s="2"/>
      <c r="C344" s="2"/>
      <c r="D344" s="2" t="s">
        <v>1671</v>
      </c>
      <c r="E344" s="2" t="s">
        <v>1672</v>
      </c>
      <c r="G344" s="114" t="s">
        <v>341</v>
      </c>
    </row>
    <row r="345" spans="2:7" ht="29" outlineLevel="1" x14ac:dyDescent="0.35">
      <c r="B345" s="2"/>
      <c r="C345" s="2"/>
      <c r="D345" s="2" t="s">
        <v>1634</v>
      </c>
      <c r="E345" s="2" t="s">
        <v>996</v>
      </c>
      <c r="G345" s="114" t="s">
        <v>341</v>
      </c>
    </row>
    <row r="346" spans="2:7" ht="29" outlineLevel="1" x14ac:dyDescent="0.35">
      <c r="B346" s="2"/>
      <c r="C346" s="2"/>
      <c r="D346" s="2" t="s">
        <v>1624</v>
      </c>
      <c r="E346" s="2" t="s">
        <v>1625</v>
      </c>
      <c r="G346" s="114" t="s">
        <v>341</v>
      </c>
    </row>
    <row r="347" spans="2:7" ht="43.5" outlineLevel="1" x14ac:dyDescent="0.35">
      <c r="B347" s="2"/>
      <c r="C347" s="2"/>
      <c r="D347" s="2" t="s">
        <v>1665</v>
      </c>
      <c r="E347" s="2" t="s">
        <v>287</v>
      </c>
      <c r="G347" s="114" t="s">
        <v>341</v>
      </c>
    </row>
    <row r="348" spans="2:7" ht="29" outlineLevel="1" x14ac:dyDescent="0.35">
      <c r="B348" s="2"/>
      <c r="C348" s="2"/>
      <c r="D348" s="2" t="s">
        <v>1636</v>
      </c>
      <c r="E348" s="2" t="s">
        <v>1285</v>
      </c>
      <c r="G348" s="114" t="s">
        <v>341</v>
      </c>
    </row>
    <row r="349" spans="2:7" ht="29" outlineLevel="1" x14ac:dyDescent="0.35">
      <c r="B349" s="2"/>
      <c r="C349" s="2"/>
      <c r="D349" s="2" t="s">
        <v>1628</v>
      </c>
      <c r="E349" s="2" t="s">
        <v>1630</v>
      </c>
      <c r="G349" s="114" t="s">
        <v>341</v>
      </c>
    </row>
    <row r="350" spans="2:7" ht="29" outlineLevel="1" x14ac:dyDescent="0.35">
      <c r="B350" s="2"/>
      <c r="C350" s="2"/>
      <c r="D350" s="2" t="s">
        <v>1629</v>
      </c>
      <c r="E350" s="2" t="s">
        <v>1631</v>
      </c>
      <c r="G350" s="114" t="s">
        <v>341</v>
      </c>
    </row>
    <row r="351" spans="2:7" x14ac:dyDescent="0.35">
      <c r="B351" s="77"/>
      <c r="C351" s="77"/>
      <c r="D351" s="75" t="s">
        <v>997</v>
      </c>
      <c r="E351" s="2"/>
      <c r="F351" s="62"/>
      <c r="G351" s="29"/>
    </row>
    <row r="352" spans="2:7" ht="29" outlineLevel="1" x14ac:dyDescent="0.35">
      <c r="B352" s="2"/>
      <c r="C352" s="2"/>
      <c r="D352" s="2" t="s">
        <v>1632</v>
      </c>
      <c r="E352" s="2" t="s">
        <v>1620</v>
      </c>
      <c r="G352" s="114" t="s">
        <v>341</v>
      </c>
    </row>
    <row r="353" spans="2:7" ht="29" outlineLevel="1" x14ac:dyDescent="0.35">
      <c r="B353" s="2"/>
      <c r="C353" s="2"/>
      <c r="D353" s="2" t="s">
        <v>1621</v>
      </c>
      <c r="E353" s="2" t="s">
        <v>994</v>
      </c>
      <c r="G353" s="114" t="s">
        <v>341</v>
      </c>
    </row>
    <row r="354" spans="2:7" ht="43.5" outlineLevel="1" x14ac:dyDescent="0.35">
      <c r="B354" s="2"/>
      <c r="C354" s="2"/>
      <c r="D354" s="2" t="s">
        <v>3578</v>
      </c>
      <c r="E354" s="2" t="s">
        <v>1640</v>
      </c>
      <c r="G354" s="114" t="s">
        <v>341</v>
      </c>
    </row>
    <row r="355" spans="2:7" ht="58" outlineLevel="1" x14ac:dyDescent="0.35">
      <c r="B355" s="2"/>
      <c r="C355" s="2"/>
      <c r="D355" s="2" t="s">
        <v>3579</v>
      </c>
      <c r="E355" s="2" t="s">
        <v>998</v>
      </c>
      <c r="G355" s="114" t="s">
        <v>341</v>
      </c>
    </row>
    <row r="356" spans="2:7" ht="145" outlineLevel="1" x14ac:dyDescent="0.35">
      <c r="B356" s="2"/>
      <c r="C356" s="2"/>
      <c r="D356" s="2" t="s">
        <v>3580</v>
      </c>
      <c r="E356" s="2" t="s">
        <v>3946</v>
      </c>
      <c r="G356" s="114" t="s">
        <v>341</v>
      </c>
    </row>
    <row r="357" spans="2:7" ht="43.5" outlineLevel="1" x14ac:dyDescent="0.35">
      <c r="B357" s="2"/>
      <c r="C357" s="2"/>
      <c r="D357" s="2" t="s">
        <v>1613</v>
      </c>
      <c r="E357" s="2" t="s">
        <v>999</v>
      </c>
      <c r="G357" s="114" t="s">
        <v>341</v>
      </c>
    </row>
    <row r="358" spans="2:7" ht="58" outlineLevel="1" x14ac:dyDescent="0.35">
      <c r="B358" s="2"/>
      <c r="C358" s="2"/>
      <c r="D358" s="2" t="s">
        <v>3581</v>
      </c>
      <c r="E358" s="2" t="s">
        <v>1000</v>
      </c>
      <c r="G358" s="114" t="s">
        <v>341</v>
      </c>
    </row>
    <row r="359" spans="2:7" ht="58" outlineLevel="1" x14ac:dyDescent="0.35">
      <c r="B359" s="2"/>
      <c r="C359" s="2"/>
      <c r="D359" s="2" t="s">
        <v>1674</v>
      </c>
      <c r="E359" s="2" t="s">
        <v>1901</v>
      </c>
      <c r="G359" s="114" t="s">
        <v>341</v>
      </c>
    </row>
    <row r="360" spans="2:7" ht="43.5" outlineLevel="1" x14ac:dyDescent="0.35">
      <c r="B360" s="2"/>
      <c r="C360" s="2"/>
      <c r="D360" s="2" t="s">
        <v>1959</v>
      </c>
      <c r="E360" s="2" t="s">
        <v>1960</v>
      </c>
      <c r="G360" s="114" t="s">
        <v>341</v>
      </c>
    </row>
    <row r="361" spans="2:7" ht="29" outlineLevel="1" x14ac:dyDescent="0.35">
      <c r="B361" s="2"/>
      <c r="C361" s="2"/>
      <c r="D361" s="2" t="s">
        <v>1626</v>
      </c>
      <c r="E361" s="2" t="s">
        <v>1630</v>
      </c>
      <c r="G361" s="114" t="s">
        <v>341</v>
      </c>
    </row>
    <row r="362" spans="2:7" ht="29" outlineLevel="1" x14ac:dyDescent="0.35">
      <c r="B362" s="2"/>
      <c r="C362" s="2"/>
      <c r="D362" s="2" t="s">
        <v>1627</v>
      </c>
      <c r="E362" s="2" t="s">
        <v>1684</v>
      </c>
      <c r="G362" s="114" t="s">
        <v>341</v>
      </c>
    </row>
    <row r="363" spans="2:7" x14ac:dyDescent="0.35">
      <c r="B363" s="77"/>
      <c r="C363" s="77"/>
      <c r="D363" s="75" t="s">
        <v>1001</v>
      </c>
      <c r="E363" s="2"/>
      <c r="F363" s="62"/>
      <c r="G363" s="29"/>
    </row>
    <row r="364" spans="2:7" ht="43.5" outlineLevel="1" x14ac:dyDescent="0.35">
      <c r="B364" s="2"/>
      <c r="C364" s="2"/>
      <c r="D364" s="2" t="s">
        <v>1600</v>
      </c>
      <c r="E364" s="2" t="s">
        <v>1876</v>
      </c>
      <c r="G364" s="114" t="s">
        <v>341</v>
      </c>
    </row>
    <row r="365" spans="2:7" x14ac:dyDescent="0.35">
      <c r="B365" s="77"/>
      <c r="C365" s="77"/>
      <c r="D365" s="75" t="s">
        <v>3603</v>
      </c>
      <c r="E365" s="2"/>
      <c r="F365" s="62"/>
      <c r="G365" s="29"/>
    </row>
    <row r="366" spans="2:7" ht="43.5" outlineLevel="1" x14ac:dyDescent="0.35">
      <c r="B366" s="2"/>
      <c r="C366" s="2"/>
      <c r="D366" s="2" t="s">
        <v>1856</v>
      </c>
      <c r="E366" s="2" t="s">
        <v>1864</v>
      </c>
      <c r="G366" s="114" t="s">
        <v>341</v>
      </c>
    </row>
    <row r="367" spans="2:7" ht="43.5" outlineLevel="1" x14ac:dyDescent="0.35">
      <c r="B367" s="2"/>
      <c r="C367" s="2"/>
      <c r="D367" s="2" t="s">
        <v>1855</v>
      </c>
      <c r="E367" s="2" t="s">
        <v>1863</v>
      </c>
      <c r="G367" s="114" t="s">
        <v>341</v>
      </c>
    </row>
    <row r="368" spans="2:7" x14ac:dyDescent="0.35">
      <c r="B368" s="2"/>
      <c r="C368" s="2"/>
      <c r="D368" s="75" t="s">
        <v>3208</v>
      </c>
      <c r="E368" s="2"/>
      <c r="G368" s="29"/>
    </row>
    <row r="369" spans="2:7" ht="58" outlineLevel="1" x14ac:dyDescent="0.35">
      <c r="B369" s="2"/>
      <c r="C369" s="2"/>
      <c r="D369" s="2" t="s">
        <v>1961</v>
      </c>
      <c r="E369" s="2" t="s">
        <v>3959</v>
      </c>
      <c r="G369" s="26" t="s">
        <v>341</v>
      </c>
    </row>
    <row r="370" spans="2:7" ht="72.5" outlineLevel="1" x14ac:dyDescent="0.35">
      <c r="B370" s="2"/>
      <c r="C370" s="2"/>
      <c r="D370" s="2" t="s">
        <v>1962</v>
      </c>
      <c r="E370" s="2" t="s">
        <v>1963</v>
      </c>
      <c r="G370" s="26" t="s">
        <v>341</v>
      </c>
    </row>
    <row r="371" spans="2:7" x14ac:dyDescent="0.35">
      <c r="B371" s="2"/>
      <c r="C371" s="2"/>
      <c r="D371" s="75" t="s">
        <v>3209</v>
      </c>
      <c r="E371" s="2"/>
      <c r="G371" s="29"/>
    </row>
    <row r="372" spans="2:7" ht="29" outlineLevel="1" x14ac:dyDescent="0.35">
      <c r="B372" s="2"/>
      <c r="C372" s="2"/>
      <c r="D372" s="2" t="s">
        <v>1964</v>
      </c>
      <c r="E372" s="2" t="s">
        <v>1970</v>
      </c>
      <c r="G372" s="26" t="s">
        <v>341</v>
      </c>
    </row>
    <row r="373" spans="2:7" ht="29" outlineLevel="1" x14ac:dyDescent="0.35">
      <c r="B373" s="2"/>
      <c r="C373" s="2"/>
      <c r="D373" s="2" t="s">
        <v>2050</v>
      </c>
      <c r="E373" s="2" t="s">
        <v>2051</v>
      </c>
      <c r="G373" s="26" t="s">
        <v>341</v>
      </c>
    </row>
    <row r="374" spans="2:7" ht="29" outlineLevel="1" x14ac:dyDescent="0.35">
      <c r="B374" s="2"/>
      <c r="C374" s="2"/>
      <c r="D374" s="2" t="s">
        <v>1982</v>
      </c>
      <c r="E374" s="2" t="s">
        <v>1983</v>
      </c>
      <c r="G374" s="26" t="s">
        <v>341</v>
      </c>
    </row>
    <row r="375" spans="2:7" ht="29" outlineLevel="1" x14ac:dyDescent="0.35">
      <c r="B375" s="2"/>
      <c r="C375" s="2"/>
      <c r="D375" s="2" t="s">
        <v>2015</v>
      </c>
      <c r="E375" s="2" t="s">
        <v>2016</v>
      </c>
      <c r="G375" s="26" t="s">
        <v>341</v>
      </c>
    </row>
    <row r="376" spans="2:7" ht="29" outlineLevel="1" x14ac:dyDescent="0.35">
      <c r="B376" s="2"/>
      <c r="C376" s="2"/>
      <c r="D376" s="2" t="s">
        <v>2017</v>
      </c>
      <c r="E376" s="2" t="s">
        <v>2018</v>
      </c>
      <c r="G376" s="26" t="s">
        <v>341</v>
      </c>
    </row>
    <row r="377" spans="2:7" ht="58" outlineLevel="1" x14ac:dyDescent="0.35">
      <c r="B377" s="2"/>
      <c r="C377" s="2"/>
      <c r="D377" s="2" t="s">
        <v>2376</v>
      </c>
      <c r="E377" s="2" t="s">
        <v>2380</v>
      </c>
      <c r="G377" s="26" t="s">
        <v>341</v>
      </c>
    </row>
    <row r="378" spans="2:7" ht="29" outlineLevel="1" x14ac:dyDescent="0.35">
      <c r="B378" s="2"/>
      <c r="C378" s="2"/>
      <c r="D378" s="2" t="s">
        <v>2377</v>
      </c>
      <c r="E378" s="2" t="s">
        <v>2383</v>
      </c>
      <c r="G378" s="26" t="s">
        <v>341</v>
      </c>
    </row>
    <row r="379" spans="2:7" ht="43.5" outlineLevel="1" x14ac:dyDescent="0.35">
      <c r="B379" s="2"/>
      <c r="C379" s="2"/>
      <c r="D379" s="2" t="s">
        <v>2378</v>
      </c>
      <c r="E379" s="2" t="s">
        <v>2382</v>
      </c>
      <c r="G379" s="26" t="s">
        <v>341</v>
      </c>
    </row>
    <row r="380" spans="2:7" ht="29" outlineLevel="1" x14ac:dyDescent="0.35">
      <c r="B380" s="2"/>
      <c r="C380" s="2"/>
      <c r="D380" s="2" t="s">
        <v>2379</v>
      </c>
      <c r="E380" s="2" t="s">
        <v>2381</v>
      </c>
      <c r="G380" s="26" t="s">
        <v>341</v>
      </c>
    </row>
    <row r="381" spans="2:7" ht="29" outlineLevel="1" x14ac:dyDescent="0.35">
      <c r="B381" s="2"/>
      <c r="C381" s="2"/>
      <c r="D381" s="2" t="s">
        <v>2019</v>
      </c>
      <c r="E381" s="2" t="s">
        <v>2020</v>
      </c>
      <c r="G381" s="26" t="s">
        <v>341</v>
      </c>
    </row>
    <row r="382" spans="2:7" ht="43.5" outlineLevel="1" x14ac:dyDescent="0.35">
      <c r="B382" s="2"/>
      <c r="C382" s="2"/>
      <c r="D382" s="2" t="s">
        <v>3582</v>
      </c>
      <c r="E382" s="2" t="s">
        <v>1971</v>
      </c>
      <c r="G382" s="26" t="s">
        <v>341</v>
      </c>
    </row>
    <row r="383" spans="2:7" ht="58" outlineLevel="1" x14ac:dyDescent="0.35">
      <c r="B383" s="2"/>
      <c r="C383" s="2"/>
      <c r="D383" s="2" t="s">
        <v>1987</v>
      </c>
      <c r="E383" s="2" t="s">
        <v>2010</v>
      </c>
      <c r="G383" s="26" t="s">
        <v>341</v>
      </c>
    </row>
    <row r="384" spans="2:7" ht="43.5" outlineLevel="1" x14ac:dyDescent="0.35">
      <c r="B384" s="2"/>
      <c r="C384" s="2"/>
      <c r="D384" s="2" t="s">
        <v>1988</v>
      </c>
      <c r="E384" s="2" t="s">
        <v>1989</v>
      </c>
      <c r="G384" s="26" t="s">
        <v>341</v>
      </c>
    </row>
    <row r="385" spans="2:7" ht="29" outlineLevel="1" x14ac:dyDescent="0.35">
      <c r="B385" s="2"/>
      <c r="C385" s="2"/>
      <c r="D385" s="2" t="s">
        <v>2133</v>
      </c>
      <c r="E385" s="2" t="s">
        <v>2311</v>
      </c>
      <c r="G385" s="26" t="s">
        <v>341</v>
      </c>
    </row>
    <row r="386" spans="2:7" ht="29" outlineLevel="1" x14ac:dyDescent="0.35">
      <c r="B386" s="2"/>
      <c r="C386" s="2"/>
      <c r="D386" s="2" t="s">
        <v>2134</v>
      </c>
      <c r="E386" s="2" t="s">
        <v>2135</v>
      </c>
      <c r="G386" s="26" t="s">
        <v>341</v>
      </c>
    </row>
    <row r="387" spans="2:7" ht="29" outlineLevel="1" x14ac:dyDescent="0.35">
      <c r="B387" s="2"/>
      <c r="C387" s="2"/>
      <c r="D387" s="2" t="s">
        <v>2136</v>
      </c>
      <c r="E387" s="2" t="s">
        <v>2137</v>
      </c>
      <c r="G387" s="26" t="s">
        <v>341</v>
      </c>
    </row>
    <row r="388" spans="2:7" ht="43.5" outlineLevel="1" x14ac:dyDescent="0.35">
      <c r="B388" s="2"/>
      <c r="C388" s="2"/>
      <c r="D388" s="2" t="s">
        <v>2138</v>
      </c>
      <c r="E388" s="2" t="s">
        <v>2139</v>
      </c>
      <c r="G388" s="26" t="s">
        <v>341</v>
      </c>
    </row>
    <row r="389" spans="2:7" ht="29" outlineLevel="1" x14ac:dyDescent="0.35">
      <c r="B389" s="2"/>
      <c r="C389" s="2"/>
      <c r="D389" s="2" t="s">
        <v>1965</v>
      </c>
      <c r="E389" s="2" t="s">
        <v>1972</v>
      </c>
      <c r="G389" s="26" t="s">
        <v>341</v>
      </c>
    </row>
    <row r="390" spans="2:7" ht="43.5" outlineLevel="1" x14ac:dyDescent="0.35">
      <c r="B390" s="2"/>
      <c r="C390" s="2"/>
      <c r="D390" s="2" t="s">
        <v>2131</v>
      </c>
      <c r="E390" s="2" t="s">
        <v>2996</v>
      </c>
      <c r="G390" s="26" t="s">
        <v>341</v>
      </c>
    </row>
    <row r="391" spans="2:7" outlineLevel="1" x14ac:dyDescent="0.35">
      <c r="B391" s="2"/>
      <c r="C391" s="2"/>
      <c r="D391" s="2" t="s">
        <v>2248</v>
      </c>
      <c r="E391" s="2" t="s">
        <v>2249</v>
      </c>
      <c r="G391" s="26" t="s">
        <v>341</v>
      </c>
    </row>
    <row r="392" spans="2:7" outlineLevel="1" x14ac:dyDescent="0.35">
      <c r="B392" s="2"/>
      <c r="C392" s="2"/>
      <c r="D392" s="2" t="s">
        <v>2489</v>
      </c>
      <c r="E392" s="2" t="s">
        <v>2490</v>
      </c>
      <c r="G392" s="26" t="s">
        <v>341</v>
      </c>
    </row>
    <row r="393" spans="2:7" outlineLevel="1" x14ac:dyDescent="0.35">
      <c r="B393" s="2"/>
      <c r="C393" s="2"/>
      <c r="D393" s="2" t="s">
        <v>2252</v>
      </c>
      <c r="E393" s="2" t="s">
        <v>2253</v>
      </c>
      <c r="G393" s="26" t="s">
        <v>341</v>
      </c>
    </row>
    <row r="394" spans="2:7" ht="29" outlineLevel="1" x14ac:dyDescent="0.35">
      <c r="B394" s="2"/>
      <c r="C394" s="2"/>
      <c r="D394" s="2" t="s">
        <v>2250</v>
      </c>
      <c r="E394" s="2" t="s">
        <v>2251</v>
      </c>
      <c r="G394" s="26" t="s">
        <v>341</v>
      </c>
    </row>
    <row r="395" spans="2:7" ht="58" outlineLevel="1" x14ac:dyDescent="0.35">
      <c r="B395" s="2"/>
      <c r="C395" s="2"/>
      <c r="D395" s="2" t="s">
        <v>2244</v>
      </c>
      <c r="E395" s="2" t="s">
        <v>2245</v>
      </c>
      <c r="G395" s="26" t="s">
        <v>341</v>
      </c>
    </row>
    <row r="396" spans="2:7" outlineLevel="1" x14ac:dyDescent="0.35">
      <c r="B396" s="2"/>
      <c r="C396" s="2"/>
      <c r="D396" s="2" t="s">
        <v>2246</v>
      </c>
      <c r="E396" s="2" t="s">
        <v>2247</v>
      </c>
      <c r="G396" s="26" t="s">
        <v>341</v>
      </c>
    </row>
    <row r="397" spans="2:7" ht="29" outlineLevel="1" x14ac:dyDescent="0.35">
      <c r="B397" s="2"/>
      <c r="C397" s="2"/>
      <c r="D397" s="2" t="s">
        <v>1966</v>
      </c>
      <c r="E397" s="2" t="s">
        <v>2192</v>
      </c>
      <c r="G397" s="26" t="s">
        <v>341</v>
      </c>
    </row>
    <row r="398" spans="2:7" ht="29" outlineLevel="1" x14ac:dyDescent="0.35">
      <c r="B398" s="2"/>
      <c r="C398" s="2"/>
      <c r="D398" s="2" t="s">
        <v>1967</v>
      </c>
      <c r="E398" s="2" t="s">
        <v>1973</v>
      </c>
      <c r="G398" s="26" t="s">
        <v>341</v>
      </c>
    </row>
    <row r="399" spans="2:7" ht="43.5" outlineLevel="1" x14ac:dyDescent="0.35">
      <c r="B399" s="2"/>
      <c r="C399" s="2"/>
      <c r="D399" s="2" t="s">
        <v>1968</v>
      </c>
      <c r="E399" s="2" t="s">
        <v>2009</v>
      </c>
      <c r="G399" s="26" t="s">
        <v>341</v>
      </c>
    </row>
  </sheetData>
  <sortState xmlns:xlrd2="http://schemas.microsoft.com/office/spreadsheetml/2017/richdata2" ref="A258:H277">
    <sortCondition ref="D258"/>
  </sortState>
  <mergeCells count="3">
    <mergeCell ref="B6:D6"/>
    <mergeCell ref="B2:B4"/>
    <mergeCell ref="G3:G4"/>
  </mergeCells>
  <dataValidations count="1">
    <dataValidation type="list" allowBlank="1" showInputMessage="1" showErrorMessage="1" sqref="G270 G267:G268 G264:G265 G48:G51 G173 G192:G198 G41 G33:G35 G37 G39 G251 G102:G103 G31 G152 G23:G26 G11 G17:G21 G13:G15 G28:G29 G171 G169 G243:G245 G248:G249 G255 G253 G46 G141:G150 G260:G261 G188:G189 G220:G221 G364 G80:G89 G61:G78 G352:G362 G372:G399 G91:G100 G331:G350 G319:G329 G105:G119 G121:G125 G176:G177 G179:G180 G182:G183 G185:G186 G223:G233 G235:G238 G240:G241 G257:G258 G127:G130 G274:G317 G369:G370 G201:G206 G208:G214 G132:G134 G136:G138 G366:G367 G154:G166 G216:G218 G53:G59" xr:uid="{00000000-0002-0000-0700-000000000000}">
      <formula1>"Yes, No"</formula1>
    </dataValidation>
  </dataValidation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293276"/>
  </sheetPr>
  <dimension ref="B1:G171"/>
  <sheetViews>
    <sheetView showGridLines="0" zoomScale="80" zoomScaleNormal="80" workbookViewId="0">
      <selection activeCell="C2" sqref="C2"/>
    </sheetView>
  </sheetViews>
  <sheetFormatPr defaultColWidth="9.1796875" defaultRowHeight="14.5" outlineLevelRow="1" x14ac:dyDescent="0.35"/>
  <cols>
    <col min="1" max="1" width="2.1796875" style="79" customWidth="1"/>
    <col min="2" max="3" width="30.6328125" style="79" customWidth="1"/>
    <col min="4" max="4" width="50.6328125" style="96" customWidth="1"/>
    <col min="5" max="5" width="76.6328125" style="96" customWidth="1"/>
    <col min="6" max="6" width="2.1796875" style="79" customWidth="1"/>
    <col min="7" max="7" width="9.1796875" style="98"/>
    <col min="8" max="16384" width="9.1796875" style="79"/>
  </cols>
  <sheetData>
    <row r="1" spans="2:7" s="58" customFormat="1" ht="18.5" customHeight="1" x14ac:dyDescent="0.5">
      <c r="B1" s="62"/>
      <c r="C1" s="69"/>
      <c r="D1" s="99"/>
      <c r="E1" s="100"/>
      <c r="G1" s="9"/>
    </row>
    <row r="2" spans="2:7" s="58" customFormat="1" ht="14.5" customHeight="1" x14ac:dyDescent="0.35">
      <c r="B2" s="151"/>
      <c r="C2" s="151"/>
      <c r="D2" s="101" t="s">
        <v>41</v>
      </c>
      <c r="E2" s="101" t="s">
        <v>1080</v>
      </c>
      <c r="G2" s="13" t="s">
        <v>342</v>
      </c>
    </row>
    <row r="3" spans="2:7" s="58" customFormat="1" ht="14.5" customHeight="1" x14ac:dyDescent="0.35">
      <c r="B3" s="151"/>
      <c r="C3" s="151"/>
      <c r="D3" s="11" t="s">
        <v>226</v>
      </c>
      <c r="E3" s="11">
        <f>COUNTIF(E8:E133,"*")</f>
        <v>116</v>
      </c>
      <c r="G3" s="185">
        <f>COUNTIF(G8:G133,"Yes")</f>
        <v>116</v>
      </c>
    </row>
    <row r="4" spans="2:7" s="58" customFormat="1" ht="14.5" customHeight="1" x14ac:dyDescent="0.35">
      <c r="B4" s="151"/>
      <c r="C4" s="151"/>
      <c r="D4" s="15" t="s">
        <v>79</v>
      </c>
      <c r="E4" s="15" t="str">
        <f>'(5) Private Wealth Management'!E4</f>
        <v>R25 Model Bank</v>
      </c>
      <c r="G4" s="186"/>
    </row>
    <row r="5" spans="2:7" ht="18.5" customHeight="1" x14ac:dyDescent="0.35">
      <c r="E5" s="121"/>
      <c r="G5" s="9"/>
    </row>
    <row r="6" spans="2:7" x14ac:dyDescent="0.35">
      <c r="B6" s="197"/>
      <c r="C6" s="198"/>
      <c r="D6" s="198"/>
      <c r="E6" s="122"/>
      <c r="G6" s="18" t="s">
        <v>340</v>
      </c>
    </row>
    <row r="7" spans="2:7" x14ac:dyDescent="0.35">
      <c r="B7" s="75" t="s">
        <v>83</v>
      </c>
      <c r="C7" s="75" t="s">
        <v>86</v>
      </c>
      <c r="D7" s="75" t="s">
        <v>87</v>
      </c>
      <c r="E7" s="75" t="s">
        <v>54</v>
      </c>
      <c r="G7" s="76" t="s">
        <v>342</v>
      </c>
    </row>
    <row r="8" spans="2:7" x14ac:dyDescent="0.35">
      <c r="B8" s="123" t="s">
        <v>1080</v>
      </c>
      <c r="C8" s="123"/>
      <c r="D8" s="108"/>
      <c r="E8" s="108"/>
      <c r="G8" s="88"/>
    </row>
    <row r="9" spans="2:7" x14ac:dyDescent="0.35">
      <c r="B9" s="123"/>
      <c r="C9" s="123" t="s">
        <v>1115</v>
      </c>
      <c r="D9" s="108"/>
      <c r="E9" s="108"/>
      <c r="G9" s="23">
        <f>COUNTIF(G11:G26,"Yes")</f>
        <v>13</v>
      </c>
    </row>
    <row r="10" spans="2:7" x14ac:dyDescent="0.35">
      <c r="B10" s="123"/>
      <c r="C10" s="123"/>
      <c r="D10" s="75" t="s">
        <v>457</v>
      </c>
      <c r="E10" s="108"/>
      <c r="G10" s="29"/>
    </row>
    <row r="11" spans="2:7" ht="58" outlineLevel="1" x14ac:dyDescent="0.35">
      <c r="B11" s="123"/>
      <c r="C11" s="123"/>
      <c r="D11" s="108" t="s">
        <v>1490</v>
      </c>
      <c r="E11" s="108" t="s">
        <v>1117</v>
      </c>
      <c r="F11" s="62"/>
      <c r="G11" s="26" t="s">
        <v>341</v>
      </c>
    </row>
    <row r="12" spans="2:7" x14ac:dyDescent="0.35">
      <c r="B12" s="123"/>
      <c r="C12" s="123"/>
      <c r="D12" s="75" t="s">
        <v>1689</v>
      </c>
      <c r="E12" s="108"/>
      <c r="F12" s="62"/>
      <c r="G12" s="29"/>
    </row>
    <row r="13" spans="2:7" ht="90" customHeight="1" outlineLevel="1" x14ac:dyDescent="0.35">
      <c r="B13" s="108"/>
      <c r="C13" s="123"/>
      <c r="D13" s="108" t="s">
        <v>258</v>
      </c>
      <c r="E13" s="108" t="s">
        <v>259</v>
      </c>
      <c r="F13" s="62"/>
      <c r="G13" s="26" t="s">
        <v>341</v>
      </c>
    </row>
    <row r="14" spans="2:7" ht="87" outlineLevel="1" x14ac:dyDescent="0.35">
      <c r="B14" s="124"/>
      <c r="C14" s="124"/>
      <c r="D14" s="108" t="s">
        <v>1116</v>
      </c>
      <c r="E14" s="108" t="s">
        <v>1780</v>
      </c>
      <c r="F14" s="62"/>
      <c r="G14" s="114" t="s">
        <v>341</v>
      </c>
    </row>
    <row r="15" spans="2:7" ht="72.5" outlineLevel="1" x14ac:dyDescent="0.35">
      <c r="B15" s="124"/>
      <c r="C15" s="124"/>
      <c r="D15" s="108" t="s">
        <v>1108</v>
      </c>
      <c r="E15" s="108" t="s">
        <v>1109</v>
      </c>
      <c r="F15" s="62"/>
      <c r="G15" s="114" t="s">
        <v>341</v>
      </c>
    </row>
    <row r="16" spans="2:7" ht="43.5" outlineLevel="1" x14ac:dyDescent="0.35">
      <c r="B16" s="124"/>
      <c r="C16" s="124"/>
      <c r="D16" s="108" t="s">
        <v>1238</v>
      </c>
      <c r="E16" s="108" t="s">
        <v>378</v>
      </c>
      <c r="F16" s="62"/>
      <c r="G16" s="114" t="s">
        <v>341</v>
      </c>
    </row>
    <row r="17" spans="2:7" ht="29" outlineLevel="1" x14ac:dyDescent="0.35">
      <c r="B17" s="124"/>
      <c r="C17" s="124"/>
      <c r="D17" s="108" t="s">
        <v>376</v>
      </c>
      <c r="E17" s="108" t="s">
        <v>377</v>
      </c>
      <c r="F17" s="62"/>
      <c r="G17" s="114" t="s">
        <v>341</v>
      </c>
    </row>
    <row r="18" spans="2:7" ht="72.5" outlineLevel="1" x14ac:dyDescent="0.35">
      <c r="B18" s="124"/>
      <c r="C18" s="124"/>
      <c r="D18" s="108" t="s">
        <v>4121</v>
      </c>
      <c r="E18" s="108" t="s">
        <v>2622</v>
      </c>
      <c r="F18" s="62"/>
      <c r="G18" s="114" t="s">
        <v>341</v>
      </c>
    </row>
    <row r="19" spans="2:7" x14ac:dyDescent="0.35">
      <c r="B19" s="124"/>
      <c r="C19" s="125"/>
      <c r="D19" s="75" t="s">
        <v>552</v>
      </c>
      <c r="E19" s="124"/>
      <c r="F19" s="62"/>
      <c r="G19" s="29"/>
    </row>
    <row r="20" spans="2:7" ht="43.5" outlineLevel="1" x14ac:dyDescent="0.35">
      <c r="B20" s="124"/>
      <c r="C20" s="125"/>
      <c r="D20" s="108" t="s">
        <v>1157</v>
      </c>
      <c r="E20" s="108" t="s">
        <v>1158</v>
      </c>
      <c r="F20" s="62"/>
      <c r="G20" s="26" t="s">
        <v>341</v>
      </c>
    </row>
    <row r="21" spans="2:7" ht="43.5" outlineLevel="1" x14ac:dyDescent="0.35">
      <c r="B21" s="124"/>
      <c r="C21" s="125"/>
      <c r="D21" s="108" t="s">
        <v>1118</v>
      </c>
      <c r="E21" s="108" t="s">
        <v>3009</v>
      </c>
      <c r="F21" s="62"/>
      <c r="G21" s="26" t="s">
        <v>341</v>
      </c>
    </row>
    <row r="22" spans="2:7" ht="43.5" outlineLevel="1" x14ac:dyDescent="0.35">
      <c r="B22" s="124"/>
      <c r="C22" s="125"/>
      <c r="D22" s="108" t="s">
        <v>1110</v>
      </c>
      <c r="E22" s="108" t="s">
        <v>3009</v>
      </c>
      <c r="F22" s="62"/>
      <c r="G22" s="26" t="s">
        <v>341</v>
      </c>
    </row>
    <row r="23" spans="2:7" ht="43.5" outlineLevel="1" x14ac:dyDescent="0.35">
      <c r="B23" s="124"/>
      <c r="C23" s="125"/>
      <c r="D23" s="108" t="s">
        <v>551</v>
      </c>
      <c r="E23" s="108" t="s">
        <v>3009</v>
      </c>
      <c r="F23" s="62"/>
      <c r="G23" s="26" t="s">
        <v>341</v>
      </c>
    </row>
    <row r="24" spans="2:7" x14ac:dyDescent="0.35">
      <c r="B24" s="124"/>
      <c r="C24" s="125"/>
      <c r="D24" s="75" t="s">
        <v>1690</v>
      </c>
      <c r="E24" s="124"/>
      <c r="F24" s="62"/>
      <c r="G24" s="29"/>
    </row>
    <row r="25" spans="2:7" ht="29" outlineLevel="1" x14ac:dyDescent="0.35">
      <c r="B25" s="124"/>
      <c r="C25" s="125"/>
      <c r="D25" s="108" t="s">
        <v>1119</v>
      </c>
      <c r="E25" s="108" t="s">
        <v>1120</v>
      </c>
      <c r="F25" s="90"/>
      <c r="G25" s="26" t="s">
        <v>341</v>
      </c>
    </row>
    <row r="26" spans="2:7" ht="43.5" outlineLevel="1" x14ac:dyDescent="0.35">
      <c r="B26" s="124"/>
      <c r="C26" s="125"/>
      <c r="D26" s="108" t="s">
        <v>1111</v>
      </c>
      <c r="E26" s="108" t="s">
        <v>1249</v>
      </c>
      <c r="F26" s="90"/>
      <c r="G26" s="26" t="s">
        <v>341</v>
      </c>
    </row>
    <row r="27" spans="2:7" ht="29" x14ac:dyDescent="0.35">
      <c r="B27" s="123"/>
      <c r="C27" s="123" t="s">
        <v>1081</v>
      </c>
      <c r="D27" s="108"/>
      <c r="E27" s="108"/>
      <c r="F27" s="90"/>
      <c r="G27" s="23">
        <f>COUNTIF(G28:G46,"Yes")</f>
        <v>19</v>
      </c>
    </row>
    <row r="28" spans="2:7" ht="29" outlineLevel="1" x14ac:dyDescent="0.35">
      <c r="B28" s="123"/>
      <c r="C28" s="123"/>
      <c r="D28" s="108" t="s">
        <v>3605</v>
      </c>
      <c r="E28" s="108" t="s">
        <v>1442</v>
      </c>
      <c r="F28" s="62"/>
      <c r="G28" s="26" t="s">
        <v>341</v>
      </c>
    </row>
    <row r="29" spans="2:7" ht="29" outlineLevel="1" x14ac:dyDescent="0.35">
      <c r="B29" s="123"/>
      <c r="C29" s="123"/>
      <c r="D29" s="108" t="s">
        <v>1092</v>
      </c>
      <c r="E29" s="108" t="s">
        <v>1095</v>
      </c>
      <c r="F29" s="62"/>
      <c r="G29" s="26" t="s">
        <v>341</v>
      </c>
    </row>
    <row r="30" spans="2:7" ht="29" outlineLevel="1" x14ac:dyDescent="0.35">
      <c r="B30" s="123"/>
      <c r="C30" s="123"/>
      <c r="D30" s="108" t="s">
        <v>1086</v>
      </c>
      <c r="E30" s="108" t="s">
        <v>1242</v>
      </c>
      <c r="F30" s="62"/>
      <c r="G30" s="26" t="s">
        <v>341</v>
      </c>
    </row>
    <row r="31" spans="2:7" ht="46" customHeight="1" outlineLevel="1" x14ac:dyDescent="0.35">
      <c r="B31" s="123"/>
      <c r="C31" s="123"/>
      <c r="D31" s="108" t="s">
        <v>1103</v>
      </c>
      <c r="E31" s="108" t="s">
        <v>3917</v>
      </c>
      <c r="F31" s="62"/>
      <c r="G31" s="26" t="s">
        <v>341</v>
      </c>
    </row>
    <row r="32" spans="2:7" ht="61" customHeight="1" outlineLevel="1" x14ac:dyDescent="0.35">
      <c r="B32" s="123"/>
      <c r="C32" s="123"/>
      <c r="D32" s="108" t="s">
        <v>2836</v>
      </c>
      <c r="E32" s="108" t="s">
        <v>1272</v>
      </c>
      <c r="F32" s="62"/>
      <c r="G32" s="26" t="s">
        <v>341</v>
      </c>
    </row>
    <row r="33" spans="2:7" ht="88.5" customHeight="1" outlineLevel="1" x14ac:dyDescent="0.35">
      <c r="B33" s="123"/>
      <c r="C33" s="123"/>
      <c r="D33" s="108" t="s">
        <v>1387</v>
      </c>
      <c r="E33" s="108" t="s">
        <v>3952</v>
      </c>
      <c r="F33" s="62"/>
      <c r="G33" s="26" t="s">
        <v>341</v>
      </c>
    </row>
    <row r="34" spans="2:7" ht="58" outlineLevel="1" x14ac:dyDescent="0.35">
      <c r="B34" s="123"/>
      <c r="C34" s="123"/>
      <c r="D34" s="108" t="s">
        <v>1100</v>
      </c>
      <c r="E34" s="108" t="s">
        <v>1781</v>
      </c>
      <c r="F34" s="62"/>
      <c r="G34" s="26" t="s">
        <v>341</v>
      </c>
    </row>
    <row r="35" spans="2:7" ht="45.5" customHeight="1" outlineLevel="1" x14ac:dyDescent="0.35">
      <c r="B35" s="123"/>
      <c r="C35" s="123"/>
      <c r="D35" s="108" t="s">
        <v>1101</v>
      </c>
      <c r="E35" s="108" t="s">
        <v>1102</v>
      </c>
      <c r="F35" s="62"/>
      <c r="G35" s="26" t="s">
        <v>341</v>
      </c>
    </row>
    <row r="36" spans="2:7" ht="29" outlineLevel="1" x14ac:dyDescent="0.35">
      <c r="B36" s="123"/>
      <c r="C36" s="123"/>
      <c r="D36" s="108" t="s">
        <v>1082</v>
      </c>
      <c r="E36" s="108" t="s">
        <v>1083</v>
      </c>
      <c r="F36" s="62"/>
      <c r="G36" s="26" t="s">
        <v>341</v>
      </c>
    </row>
    <row r="37" spans="2:7" ht="43.5" outlineLevel="1" x14ac:dyDescent="0.35">
      <c r="B37" s="124"/>
      <c r="C37" s="125"/>
      <c r="D37" s="108" t="s">
        <v>1181</v>
      </c>
      <c r="E37" s="108" t="s">
        <v>3964</v>
      </c>
      <c r="F37" s="90"/>
      <c r="G37" s="26" t="s">
        <v>341</v>
      </c>
    </row>
    <row r="38" spans="2:7" ht="29" outlineLevel="1" x14ac:dyDescent="0.35">
      <c r="B38" s="123"/>
      <c r="C38" s="123"/>
      <c r="D38" s="108" t="s">
        <v>1084</v>
      </c>
      <c r="E38" s="108" t="s">
        <v>1107</v>
      </c>
      <c r="F38" s="62"/>
      <c r="G38" s="26" t="s">
        <v>341</v>
      </c>
    </row>
    <row r="39" spans="2:7" ht="89" customHeight="1" outlineLevel="1" x14ac:dyDescent="0.35">
      <c r="B39" s="123"/>
      <c r="C39" s="123"/>
      <c r="D39" s="108" t="s">
        <v>1283</v>
      </c>
      <c r="E39" s="108" t="s">
        <v>3972</v>
      </c>
      <c r="F39" s="62"/>
      <c r="G39" s="26" t="s">
        <v>341</v>
      </c>
    </row>
    <row r="40" spans="2:7" ht="43.5" outlineLevel="1" x14ac:dyDescent="0.35">
      <c r="B40" s="123"/>
      <c r="C40" s="123"/>
      <c r="D40" s="108" t="s">
        <v>1105</v>
      </c>
      <c r="E40" s="108" t="s">
        <v>1334</v>
      </c>
      <c r="F40" s="62"/>
      <c r="G40" s="26" t="s">
        <v>341</v>
      </c>
    </row>
    <row r="41" spans="2:7" ht="29" outlineLevel="1" x14ac:dyDescent="0.35">
      <c r="B41" s="123"/>
      <c r="C41" s="123"/>
      <c r="D41" s="108" t="s">
        <v>1093</v>
      </c>
      <c r="E41" s="108" t="s">
        <v>1106</v>
      </c>
      <c r="F41" s="62"/>
      <c r="G41" s="26" t="s">
        <v>341</v>
      </c>
    </row>
    <row r="42" spans="2:7" ht="29" outlineLevel="1" x14ac:dyDescent="0.35">
      <c r="B42" s="123"/>
      <c r="C42" s="123"/>
      <c r="D42" s="108" t="s">
        <v>1099</v>
      </c>
      <c r="E42" s="108" t="s">
        <v>1487</v>
      </c>
      <c r="F42" s="62"/>
      <c r="G42" s="26" t="s">
        <v>341</v>
      </c>
    </row>
    <row r="43" spans="2:7" ht="29" outlineLevel="1" x14ac:dyDescent="0.35">
      <c r="B43" s="123"/>
      <c r="C43" s="123"/>
      <c r="D43" s="108" t="s">
        <v>1094</v>
      </c>
      <c r="E43" s="108" t="s">
        <v>1096</v>
      </c>
      <c r="F43" s="62"/>
      <c r="G43" s="26" t="s">
        <v>341</v>
      </c>
    </row>
    <row r="44" spans="2:7" ht="43.5" outlineLevel="1" x14ac:dyDescent="0.35">
      <c r="B44" s="123"/>
      <c r="C44" s="123"/>
      <c r="D44" s="108" t="s">
        <v>1104</v>
      </c>
      <c r="E44" s="108" t="s">
        <v>1488</v>
      </c>
      <c r="F44" s="62"/>
      <c r="G44" s="26" t="s">
        <v>341</v>
      </c>
    </row>
    <row r="45" spans="2:7" ht="29" outlineLevel="1" x14ac:dyDescent="0.35">
      <c r="B45" s="123"/>
      <c r="C45" s="123"/>
      <c r="D45" s="108" t="s">
        <v>1098</v>
      </c>
      <c r="E45" s="108" t="s">
        <v>1250</v>
      </c>
      <c r="F45" s="62"/>
      <c r="G45" s="26" t="s">
        <v>341</v>
      </c>
    </row>
    <row r="46" spans="2:7" ht="29" outlineLevel="1" x14ac:dyDescent="0.35">
      <c r="B46" s="123"/>
      <c r="C46" s="123"/>
      <c r="D46" s="108" t="s">
        <v>3606</v>
      </c>
      <c r="E46" s="108" t="s">
        <v>1097</v>
      </c>
      <c r="F46" s="62"/>
      <c r="G46" s="26" t="s">
        <v>341</v>
      </c>
    </row>
    <row r="47" spans="2:7" ht="29" x14ac:dyDescent="0.35">
      <c r="B47" s="123"/>
      <c r="C47" s="123" t="s">
        <v>1156</v>
      </c>
      <c r="D47" s="108"/>
      <c r="E47" s="124"/>
      <c r="F47" s="62"/>
      <c r="G47" s="23">
        <f>COUNTIF(G48:G85,"Yes")</f>
        <v>38</v>
      </c>
    </row>
    <row r="48" spans="2:7" ht="29.5" customHeight="1" outlineLevel="1" x14ac:dyDescent="0.35">
      <c r="B48" s="124"/>
      <c r="C48" s="124"/>
      <c r="D48" s="108" t="s">
        <v>3607</v>
      </c>
      <c r="E48" s="108" t="s">
        <v>1145</v>
      </c>
      <c r="F48" s="62"/>
      <c r="G48" s="26" t="s">
        <v>341</v>
      </c>
    </row>
    <row r="49" spans="2:7" ht="29" outlineLevel="1" x14ac:dyDescent="0.35">
      <c r="B49" s="126"/>
      <c r="C49" s="126"/>
      <c r="D49" s="108" t="s">
        <v>3604</v>
      </c>
      <c r="E49" s="108" t="s">
        <v>1292</v>
      </c>
      <c r="F49" s="62"/>
      <c r="G49" s="26" t="s">
        <v>341</v>
      </c>
    </row>
    <row r="50" spans="2:7" ht="43.5" outlineLevel="1" x14ac:dyDescent="0.35">
      <c r="B50" s="123"/>
      <c r="C50" s="125"/>
      <c r="D50" s="108" t="s">
        <v>1123</v>
      </c>
      <c r="E50" s="108" t="s">
        <v>1160</v>
      </c>
      <c r="F50" s="62"/>
      <c r="G50" s="26" t="s">
        <v>341</v>
      </c>
    </row>
    <row r="51" spans="2:7" ht="29" outlineLevel="1" x14ac:dyDescent="0.35">
      <c r="B51" s="124"/>
      <c r="C51" s="124"/>
      <c r="D51" s="108" t="s">
        <v>1149</v>
      </c>
      <c r="E51" s="108" t="s">
        <v>1164</v>
      </c>
      <c r="F51" s="62"/>
      <c r="G51" s="26" t="s">
        <v>341</v>
      </c>
    </row>
    <row r="52" spans="2:7" ht="29" outlineLevel="1" x14ac:dyDescent="0.35">
      <c r="B52" s="124"/>
      <c r="C52" s="112"/>
      <c r="D52" s="108" t="s">
        <v>1135</v>
      </c>
      <c r="E52" s="108" t="s">
        <v>1167</v>
      </c>
      <c r="F52" s="62"/>
      <c r="G52" s="26" t="s">
        <v>341</v>
      </c>
    </row>
    <row r="53" spans="2:7" ht="29" outlineLevel="1" x14ac:dyDescent="0.35">
      <c r="B53" s="112"/>
      <c r="C53" s="112"/>
      <c r="D53" s="108" t="s">
        <v>1136</v>
      </c>
      <c r="E53" s="108" t="s">
        <v>1137</v>
      </c>
      <c r="F53" s="62"/>
      <c r="G53" s="26" t="s">
        <v>341</v>
      </c>
    </row>
    <row r="54" spans="2:7" ht="45.5" customHeight="1" outlineLevel="1" x14ac:dyDescent="0.35">
      <c r="B54" s="127"/>
      <c r="C54" s="128"/>
      <c r="D54" s="108" t="s">
        <v>1126</v>
      </c>
      <c r="E54" s="108" t="s">
        <v>1161</v>
      </c>
      <c r="F54" s="62"/>
      <c r="G54" s="26" t="s">
        <v>341</v>
      </c>
    </row>
    <row r="55" spans="2:7" ht="29" outlineLevel="1" x14ac:dyDescent="0.35">
      <c r="B55" s="124"/>
      <c r="C55" s="124"/>
      <c r="D55" s="108" t="s">
        <v>1151</v>
      </c>
      <c r="E55" s="108" t="s">
        <v>1243</v>
      </c>
      <c r="F55" s="62"/>
      <c r="G55" s="26" t="s">
        <v>341</v>
      </c>
    </row>
    <row r="56" spans="2:7" ht="29" outlineLevel="1" x14ac:dyDescent="0.35">
      <c r="B56" s="123"/>
      <c r="C56" s="125"/>
      <c r="D56" s="108" t="s">
        <v>1379</v>
      </c>
      <c r="E56" s="108" t="s">
        <v>1483</v>
      </c>
      <c r="F56" s="62"/>
      <c r="G56" s="26" t="s">
        <v>341</v>
      </c>
    </row>
    <row r="57" spans="2:7" ht="29" outlineLevel="1" x14ac:dyDescent="0.35">
      <c r="B57" s="124"/>
      <c r="C57" s="126"/>
      <c r="D57" s="108" t="s">
        <v>1124</v>
      </c>
      <c r="E57" s="108" t="s">
        <v>1245</v>
      </c>
      <c r="F57" s="62"/>
      <c r="G57" s="26" t="s">
        <v>341</v>
      </c>
    </row>
    <row r="58" spans="2:7" ht="30.5" customHeight="1" outlineLevel="1" x14ac:dyDescent="0.35">
      <c r="B58" s="124"/>
      <c r="C58" s="124"/>
      <c r="D58" s="108" t="s">
        <v>1153</v>
      </c>
      <c r="E58" s="108" t="s">
        <v>3963</v>
      </c>
      <c r="F58" s="62"/>
      <c r="G58" s="26" t="s">
        <v>341</v>
      </c>
    </row>
    <row r="59" spans="2:7" ht="29" outlineLevel="1" x14ac:dyDescent="0.35">
      <c r="B59" s="123"/>
      <c r="C59" s="125"/>
      <c r="D59" s="108" t="s">
        <v>1121</v>
      </c>
      <c r="E59" s="108" t="s">
        <v>1122</v>
      </c>
      <c r="F59" s="62"/>
      <c r="G59" s="26" t="s">
        <v>341</v>
      </c>
    </row>
    <row r="60" spans="2:7" ht="73" customHeight="1" outlineLevel="1" x14ac:dyDescent="0.35">
      <c r="B60" s="124"/>
      <c r="C60" s="124"/>
      <c r="D60" s="108" t="s">
        <v>1138</v>
      </c>
      <c r="E60" s="108" t="s">
        <v>1382</v>
      </c>
      <c r="F60" s="62"/>
      <c r="G60" s="26" t="s">
        <v>341</v>
      </c>
    </row>
    <row r="61" spans="2:7" ht="29" outlineLevel="1" x14ac:dyDescent="0.35">
      <c r="B61" s="124"/>
      <c r="C61" s="124"/>
      <c r="D61" s="108" t="s">
        <v>1131</v>
      </c>
      <c r="E61" s="108" t="s">
        <v>1485</v>
      </c>
      <c r="F61" s="62"/>
      <c r="G61" s="26" t="s">
        <v>341</v>
      </c>
    </row>
    <row r="62" spans="2:7" ht="29" outlineLevel="1" x14ac:dyDescent="0.35">
      <c r="B62" s="124"/>
      <c r="C62" s="124"/>
      <c r="D62" s="108" t="s">
        <v>1139</v>
      </c>
      <c r="E62" s="108" t="s">
        <v>1140</v>
      </c>
      <c r="F62" s="62"/>
      <c r="G62" s="26" t="s">
        <v>341</v>
      </c>
    </row>
    <row r="63" spans="2:7" ht="29" outlineLevel="1" x14ac:dyDescent="0.35">
      <c r="B63" s="124"/>
      <c r="C63" s="124"/>
      <c r="D63" s="108" t="s">
        <v>1152</v>
      </c>
      <c r="E63" s="108" t="s">
        <v>1155</v>
      </c>
      <c r="F63" s="62"/>
      <c r="G63" s="26" t="s">
        <v>341</v>
      </c>
    </row>
    <row r="64" spans="2:7" ht="19" customHeight="1" outlineLevel="1" x14ac:dyDescent="0.35">
      <c r="B64" s="123"/>
      <c r="C64" s="124"/>
      <c r="D64" s="108" t="s">
        <v>1127</v>
      </c>
      <c r="E64" s="108" t="s">
        <v>1486</v>
      </c>
      <c r="F64" s="62"/>
      <c r="G64" s="26" t="s">
        <v>341</v>
      </c>
    </row>
    <row r="65" spans="2:7" ht="29" outlineLevel="1" x14ac:dyDescent="0.35">
      <c r="B65" s="124"/>
      <c r="C65" s="129"/>
      <c r="D65" s="108" t="s">
        <v>1154</v>
      </c>
      <c r="E65" s="108" t="s">
        <v>942</v>
      </c>
      <c r="F65" s="62"/>
      <c r="G65" s="26" t="s">
        <v>341</v>
      </c>
    </row>
    <row r="66" spans="2:7" ht="29" outlineLevel="1" x14ac:dyDescent="0.35">
      <c r="B66" s="124"/>
      <c r="C66" s="129"/>
      <c r="D66" s="108" t="s">
        <v>1141</v>
      </c>
      <c r="E66" s="108" t="s">
        <v>1142</v>
      </c>
      <c r="F66" s="62"/>
      <c r="G66" s="26" t="s">
        <v>341</v>
      </c>
    </row>
    <row r="67" spans="2:7" ht="29.5" customHeight="1" outlineLevel="1" x14ac:dyDescent="0.35">
      <c r="B67" s="124"/>
      <c r="C67" s="129"/>
      <c r="D67" s="108" t="s">
        <v>1294</v>
      </c>
      <c r="E67" s="108" t="s">
        <v>3982</v>
      </c>
      <c r="F67" s="62"/>
      <c r="G67" s="26" t="s">
        <v>341</v>
      </c>
    </row>
    <row r="68" spans="2:7" ht="29" outlineLevel="1" x14ac:dyDescent="0.35">
      <c r="B68" s="124"/>
      <c r="C68" s="129"/>
      <c r="D68" s="108" t="s">
        <v>1134</v>
      </c>
      <c r="E68" s="108" t="s">
        <v>1163</v>
      </c>
      <c r="F68" s="62"/>
      <c r="G68" s="26" t="s">
        <v>341</v>
      </c>
    </row>
    <row r="69" spans="2:7" ht="29" outlineLevel="1" x14ac:dyDescent="0.35">
      <c r="B69" s="123"/>
      <c r="C69" s="130"/>
      <c r="D69" s="108" t="s">
        <v>1241</v>
      </c>
      <c r="E69" s="108" t="s">
        <v>1185</v>
      </c>
      <c r="F69" s="62"/>
      <c r="G69" s="26" t="s">
        <v>341</v>
      </c>
    </row>
    <row r="70" spans="2:7" ht="29" outlineLevel="1" x14ac:dyDescent="0.35">
      <c r="B70" s="124"/>
      <c r="C70" s="129"/>
      <c r="D70" s="108" t="s">
        <v>1150</v>
      </c>
      <c r="E70" s="108" t="s">
        <v>959</v>
      </c>
      <c r="F70" s="62"/>
      <c r="G70" s="26" t="s">
        <v>341</v>
      </c>
    </row>
    <row r="71" spans="2:7" ht="43.5" outlineLevel="1" x14ac:dyDescent="0.35">
      <c r="B71" s="124"/>
      <c r="C71" s="129"/>
      <c r="D71" s="108" t="s">
        <v>1182</v>
      </c>
      <c r="E71" s="108" t="s">
        <v>1273</v>
      </c>
      <c r="F71" s="62"/>
      <c r="G71" s="26" t="s">
        <v>341</v>
      </c>
    </row>
    <row r="72" spans="2:7" ht="29" outlineLevel="1" x14ac:dyDescent="0.35">
      <c r="B72" s="124"/>
      <c r="C72" s="129"/>
      <c r="D72" s="108" t="s">
        <v>1133</v>
      </c>
      <c r="E72" s="108" t="s">
        <v>823</v>
      </c>
      <c r="F72" s="62"/>
      <c r="G72" s="26" t="s">
        <v>341</v>
      </c>
    </row>
    <row r="73" spans="2:7" ht="29" outlineLevel="1" x14ac:dyDescent="0.35">
      <c r="B73" s="124"/>
      <c r="C73" s="129"/>
      <c r="D73" s="108" t="s">
        <v>1143</v>
      </c>
      <c r="E73" s="108" t="s">
        <v>1896</v>
      </c>
      <c r="F73" s="62"/>
      <c r="G73" s="26" t="s">
        <v>341</v>
      </c>
    </row>
    <row r="74" spans="2:7" ht="29" outlineLevel="1" x14ac:dyDescent="0.35">
      <c r="B74" s="124"/>
      <c r="C74" s="129"/>
      <c r="D74" s="108" t="s">
        <v>1132</v>
      </c>
      <c r="E74" s="108" t="s">
        <v>1165</v>
      </c>
      <c r="F74" s="62"/>
      <c r="G74" s="26" t="s">
        <v>341</v>
      </c>
    </row>
    <row r="75" spans="2:7" ht="58" outlineLevel="1" x14ac:dyDescent="0.35">
      <c r="B75" s="1"/>
      <c r="C75" s="131"/>
      <c r="D75" s="108" t="s">
        <v>1318</v>
      </c>
      <c r="E75" s="108" t="s">
        <v>1319</v>
      </c>
      <c r="F75" s="62"/>
      <c r="G75" s="26" t="s">
        <v>341</v>
      </c>
    </row>
    <row r="76" spans="2:7" ht="29" outlineLevel="1" x14ac:dyDescent="0.35">
      <c r="B76" s="124"/>
      <c r="C76" s="129"/>
      <c r="D76" s="108" t="s">
        <v>1130</v>
      </c>
      <c r="E76" s="108" t="s">
        <v>1162</v>
      </c>
      <c r="F76" s="62"/>
      <c r="G76" s="26" t="s">
        <v>341</v>
      </c>
    </row>
    <row r="77" spans="2:7" ht="74.5" customHeight="1" outlineLevel="1" x14ac:dyDescent="0.35">
      <c r="B77" s="123"/>
      <c r="C77" s="129"/>
      <c r="D77" s="108" t="s">
        <v>1577</v>
      </c>
      <c r="E77" s="108" t="s">
        <v>3998</v>
      </c>
      <c r="F77" s="62"/>
      <c r="G77" s="26" t="s">
        <v>341</v>
      </c>
    </row>
    <row r="78" spans="2:7" ht="43.5" outlineLevel="1" x14ac:dyDescent="0.35">
      <c r="B78" s="124"/>
      <c r="C78" s="129"/>
      <c r="D78" s="108" t="s">
        <v>1128</v>
      </c>
      <c r="E78" s="108" t="s">
        <v>1129</v>
      </c>
      <c r="F78" s="62"/>
      <c r="G78" s="26" t="s">
        <v>341</v>
      </c>
    </row>
    <row r="79" spans="2:7" ht="29" outlineLevel="1" x14ac:dyDescent="0.35">
      <c r="B79" s="124"/>
      <c r="C79" s="129"/>
      <c r="D79" s="108" t="s">
        <v>1144</v>
      </c>
      <c r="E79" s="108" t="s">
        <v>2937</v>
      </c>
      <c r="F79" s="62"/>
      <c r="G79" s="26" t="s">
        <v>341</v>
      </c>
    </row>
    <row r="80" spans="2:7" ht="29" outlineLevel="1" x14ac:dyDescent="0.35">
      <c r="B80" s="124"/>
      <c r="C80" s="129"/>
      <c r="D80" s="108" t="s">
        <v>1491</v>
      </c>
      <c r="E80" s="108" t="s">
        <v>1166</v>
      </c>
      <c r="F80" s="62"/>
      <c r="G80" s="26" t="s">
        <v>341</v>
      </c>
    </row>
    <row r="81" spans="2:7" ht="29" outlineLevel="1" x14ac:dyDescent="0.35">
      <c r="B81" s="126"/>
      <c r="C81" s="132"/>
      <c r="D81" s="108" t="s">
        <v>1125</v>
      </c>
      <c r="E81" s="108" t="s">
        <v>1485</v>
      </c>
      <c r="F81" s="62"/>
      <c r="G81" s="26" t="s">
        <v>341</v>
      </c>
    </row>
    <row r="82" spans="2:7" ht="29" outlineLevel="1" x14ac:dyDescent="0.35">
      <c r="B82" s="124"/>
      <c r="C82" s="129"/>
      <c r="D82" s="108" t="s">
        <v>2852</v>
      </c>
      <c r="E82" s="108" t="s">
        <v>1252</v>
      </c>
      <c r="F82" s="62"/>
      <c r="G82" s="26" t="s">
        <v>341</v>
      </c>
    </row>
    <row r="83" spans="2:7" ht="29" outlineLevel="1" x14ac:dyDescent="0.35">
      <c r="B83" s="124"/>
      <c r="C83" s="129"/>
      <c r="D83" s="108" t="s">
        <v>1295</v>
      </c>
      <c r="E83" s="108" t="s">
        <v>1782</v>
      </c>
      <c r="F83" s="62"/>
      <c r="G83" s="26" t="s">
        <v>341</v>
      </c>
    </row>
    <row r="84" spans="2:7" ht="29" outlineLevel="1" x14ac:dyDescent="0.35">
      <c r="B84" s="124"/>
      <c r="C84" s="129"/>
      <c r="D84" s="108" t="s">
        <v>1146</v>
      </c>
      <c r="E84" s="108" t="s">
        <v>1253</v>
      </c>
      <c r="F84" s="62"/>
      <c r="G84" s="26" t="s">
        <v>341</v>
      </c>
    </row>
    <row r="85" spans="2:7" ht="29" outlineLevel="1" x14ac:dyDescent="0.35">
      <c r="B85" s="124"/>
      <c r="C85" s="124"/>
      <c r="D85" s="108" t="s">
        <v>1147</v>
      </c>
      <c r="E85" s="108" t="s">
        <v>1148</v>
      </c>
      <c r="F85" s="62"/>
      <c r="G85" s="26" t="s">
        <v>341</v>
      </c>
    </row>
    <row r="86" spans="2:7" ht="29" x14ac:dyDescent="0.35">
      <c r="B86" s="123"/>
      <c r="C86" s="123" t="s">
        <v>1691</v>
      </c>
      <c r="D86" s="47"/>
      <c r="E86" s="85"/>
      <c r="F86" s="62"/>
      <c r="G86" s="23">
        <f>COUNTIF(G87:G122,"Yes")</f>
        <v>36</v>
      </c>
    </row>
    <row r="87" spans="2:7" ht="29" outlineLevel="1" x14ac:dyDescent="0.35">
      <c r="B87" s="126"/>
      <c r="C87" s="112"/>
      <c r="D87" s="108" t="s">
        <v>3608</v>
      </c>
      <c r="E87" s="108" t="s">
        <v>554</v>
      </c>
      <c r="F87" s="62"/>
      <c r="G87" s="114" t="s">
        <v>341</v>
      </c>
    </row>
    <row r="88" spans="2:7" ht="29" outlineLevel="1" x14ac:dyDescent="0.35">
      <c r="B88" s="124"/>
      <c r="C88" s="84"/>
      <c r="D88" s="108" t="s">
        <v>682</v>
      </c>
      <c r="E88" s="108" t="s">
        <v>446</v>
      </c>
      <c r="F88" s="62"/>
      <c r="G88" s="114" t="s">
        <v>341</v>
      </c>
    </row>
    <row r="89" spans="2:7" ht="29" outlineLevel="1" x14ac:dyDescent="0.35">
      <c r="B89" s="124"/>
      <c r="C89" s="84"/>
      <c r="D89" s="108" t="s">
        <v>683</v>
      </c>
      <c r="E89" s="108" t="s">
        <v>447</v>
      </c>
      <c r="F89" s="62"/>
      <c r="G89" s="114" t="s">
        <v>341</v>
      </c>
    </row>
    <row r="90" spans="2:7" outlineLevel="1" x14ac:dyDescent="0.35">
      <c r="B90" s="126"/>
      <c r="C90" s="112"/>
      <c r="D90" s="108" t="s">
        <v>684</v>
      </c>
      <c r="E90" s="108" t="s">
        <v>681</v>
      </c>
      <c r="F90" s="62"/>
      <c r="G90" s="26" t="s">
        <v>341</v>
      </c>
    </row>
    <row r="91" spans="2:7" ht="29" outlineLevel="1" x14ac:dyDescent="0.35">
      <c r="B91" s="123"/>
      <c r="C91" s="128"/>
      <c r="D91" s="108" t="s">
        <v>1239</v>
      </c>
      <c r="E91" s="108" t="s">
        <v>1159</v>
      </c>
      <c r="F91" s="62"/>
      <c r="G91" s="26" t="s">
        <v>341</v>
      </c>
    </row>
    <row r="92" spans="2:7" ht="29" outlineLevel="1" x14ac:dyDescent="0.35">
      <c r="B92" s="126"/>
      <c r="C92" s="112"/>
      <c r="D92" s="108" t="s">
        <v>685</v>
      </c>
      <c r="E92" s="108" t="s">
        <v>1783</v>
      </c>
      <c r="F92" s="62"/>
      <c r="G92" s="26" t="s">
        <v>341</v>
      </c>
    </row>
    <row r="93" spans="2:7" ht="43.5" outlineLevel="1" x14ac:dyDescent="0.35">
      <c r="B93" s="126"/>
      <c r="C93" s="112"/>
      <c r="D93" s="108" t="s">
        <v>686</v>
      </c>
      <c r="E93" s="108" t="s">
        <v>824</v>
      </c>
      <c r="F93" s="62"/>
      <c r="G93" s="26" t="s">
        <v>341</v>
      </c>
    </row>
    <row r="94" spans="2:7" ht="29" outlineLevel="1" x14ac:dyDescent="0.35">
      <c r="B94" s="126"/>
      <c r="C94" s="112"/>
      <c r="D94" s="108" t="s">
        <v>3609</v>
      </c>
      <c r="E94" s="108" t="s">
        <v>875</v>
      </c>
      <c r="F94" s="62"/>
      <c r="G94" s="26" t="s">
        <v>341</v>
      </c>
    </row>
    <row r="95" spans="2:7" ht="29" outlineLevel="1" x14ac:dyDescent="0.35">
      <c r="B95" s="84"/>
      <c r="C95" s="112"/>
      <c r="D95" s="108" t="s">
        <v>687</v>
      </c>
      <c r="E95" s="108" t="s">
        <v>688</v>
      </c>
      <c r="F95" s="62"/>
      <c r="G95" s="26" t="s">
        <v>341</v>
      </c>
    </row>
    <row r="96" spans="2:7" ht="29" outlineLevel="1" x14ac:dyDescent="0.35">
      <c r="B96" s="84"/>
      <c r="C96" s="112"/>
      <c r="D96" s="108" t="s">
        <v>689</v>
      </c>
      <c r="E96" s="108" t="s">
        <v>1244</v>
      </c>
      <c r="F96" s="62"/>
      <c r="G96" s="26" t="s">
        <v>341</v>
      </c>
    </row>
    <row r="97" spans="2:7" ht="29" outlineLevel="1" x14ac:dyDescent="0.35">
      <c r="B97" s="84"/>
      <c r="C97" s="124"/>
      <c r="D97" s="108" t="s">
        <v>690</v>
      </c>
      <c r="E97" s="108" t="s">
        <v>1882</v>
      </c>
      <c r="F97" s="62"/>
      <c r="G97" s="114" t="s">
        <v>341</v>
      </c>
    </row>
    <row r="98" spans="2:7" ht="29" outlineLevel="1" x14ac:dyDescent="0.35">
      <c r="B98" s="112"/>
      <c r="C98" s="126"/>
      <c r="D98" s="108" t="s">
        <v>856</v>
      </c>
      <c r="E98" s="108" t="s">
        <v>559</v>
      </c>
      <c r="F98" s="62"/>
      <c r="G98" s="114" t="s">
        <v>341</v>
      </c>
    </row>
    <row r="99" spans="2:7" ht="29" outlineLevel="1" x14ac:dyDescent="0.35">
      <c r="B99" s="112"/>
      <c r="C99" s="126"/>
      <c r="D99" s="108" t="s">
        <v>857</v>
      </c>
      <c r="E99" s="108" t="s">
        <v>559</v>
      </c>
      <c r="F99" s="62"/>
      <c r="G99" s="114" t="s">
        <v>341</v>
      </c>
    </row>
    <row r="100" spans="2:7" ht="29" outlineLevel="1" x14ac:dyDescent="0.35">
      <c r="B100" s="112"/>
      <c r="C100" s="126"/>
      <c r="D100" s="108" t="s">
        <v>858</v>
      </c>
      <c r="E100" s="108" t="s">
        <v>609</v>
      </c>
      <c r="F100" s="62"/>
      <c r="G100" s="114" t="s">
        <v>341</v>
      </c>
    </row>
    <row r="101" spans="2:7" outlineLevel="1" x14ac:dyDescent="0.35">
      <c r="B101" s="84"/>
      <c r="C101" s="124"/>
      <c r="D101" s="108" t="s">
        <v>691</v>
      </c>
      <c r="E101" s="108" t="s">
        <v>1246</v>
      </c>
      <c r="F101" s="62"/>
      <c r="G101" s="114" t="s">
        <v>341</v>
      </c>
    </row>
    <row r="102" spans="2:7" ht="29" outlineLevel="1" x14ac:dyDescent="0.35">
      <c r="B102" s="84"/>
      <c r="C102" s="124"/>
      <c r="D102" s="108" t="s">
        <v>825</v>
      </c>
      <c r="E102" s="108" t="s">
        <v>608</v>
      </c>
      <c r="F102" s="62"/>
      <c r="G102" s="114" t="s">
        <v>341</v>
      </c>
    </row>
    <row r="103" spans="2:7" ht="29" outlineLevel="1" x14ac:dyDescent="0.35">
      <c r="B103" s="112"/>
      <c r="C103" s="126"/>
      <c r="D103" s="108" t="s">
        <v>1240</v>
      </c>
      <c r="E103" s="108" t="s">
        <v>1247</v>
      </c>
      <c r="F103" s="62"/>
      <c r="G103" s="114" t="s">
        <v>341</v>
      </c>
    </row>
    <row r="104" spans="2:7" ht="29" outlineLevel="1" x14ac:dyDescent="0.35">
      <c r="B104" s="84"/>
      <c r="C104" s="124"/>
      <c r="D104" s="108" t="s">
        <v>692</v>
      </c>
      <c r="E104" s="108" t="s">
        <v>558</v>
      </c>
      <c r="F104" s="62"/>
      <c r="G104" s="26" t="s">
        <v>341</v>
      </c>
    </row>
    <row r="105" spans="2:7" ht="29" outlineLevel="1" x14ac:dyDescent="0.35">
      <c r="B105" s="84"/>
      <c r="C105" s="126"/>
      <c r="D105" s="108" t="s">
        <v>876</v>
      </c>
      <c r="E105" s="108" t="s">
        <v>877</v>
      </c>
      <c r="G105" s="26" t="s">
        <v>341</v>
      </c>
    </row>
    <row r="106" spans="2:7" ht="29" outlineLevel="1" x14ac:dyDescent="0.35">
      <c r="B106" s="84"/>
      <c r="C106" s="124"/>
      <c r="D106" s="108" t="s">
        <v>693</v>
      </c>
      <c r="E106" s="108" t="s">
        <v>826</v>
      </c>
      <c r="F106" s="62"/>
      <c r="G106" s="26" t="s">
        <v>341</v>
      </c>
    </row>
    <row r="107" spans="2:7" ht="29" outlineLevel="1" x14ac:dyDescent="0.35">
      <c r="B107" s="84"/>
      <c r="C107" s="124"/>
      <c r="D107" s="108" t="s">
        <v>694</v>
      </c>
      <c r="E107" s="108" t="s">
        <v>827</v>
      </c>
      <c r="F107" s="62"/>
      <c r="G107" s="26" t="s">
        <v>341</v>
      </c>
    </row>
    <row r="108" spans="2:7" ht="29" outlineLevel="1" x14ac:dyDescent="0.35">
      <c r="B108" s="112"/>
      <c r="C108" s="126"/>
      <c r="D108" s="108" t="s">
        <v>695</v>
      </c>
      <c r="E108" s="108" t="s">
        <v>448</v>
      </c>
      <c r="F108" s="62"/>
      <c r="G108" s="26" t="s">
        <v>341</v>
      </c>
    </row>
    <row r="109" spans="2:7" ht="29" outlineLevel="1" x14ac:dyDescent="0.35">
      <c r="B109" s="84"/>
      <c r="C109" s="126"/>
      <c r="D109" s="108" t="s">
        <v>878</v>
      </c>
      <c r="E109" s="108" t="s">
        <v>1248</v>
      </c>
      <c r="G109" s="26" t="s">
        <v>341</v>
      </c>
    </row>
    <row r="110" spans="2:7" ht="29" outlineLevel="1" x14ac:dyDescent="0.35">
      <c r="B110" s="112"/>
      <c r="C110" s="126"/>
      <c r="D110" s="108" t="s">
        <v>696</v>
      </c>
      <c r="E110" s="108" t="s">
        <v>553</v>
      </c>
      <c r="F110" s="62"/>
      <c r="G110" s="26" t="s">
        <v>341</v>
      </c>
    </row>
    <row r="111" spans="2:7" ht="29" outlineLevel="1" x14ac:dyDescent="0.35">
      <c r="B111" s="84"/>
      <c r="C111" s="124"/>
      <c r="D111" s="108" t="s">
        <v>651</v>
      </c>
      <c r="E111" s="108" t="s">
        <v>1489</v>
      </c>
      <c r="F111" s="62"/>
      <c r="G111" s="26" t="s">
        <v>341</v>
      </c>
    </row>
    <row r="112" spans="2:7" ht="29" outlineLevel="1" x14ac:dyDescent="0.35">
      <c r="B112" s="84"/>
      <c r="C112" s="124"/>
      <c r="D112" s="108" t="s">
        <v>873</v>
      </c>
      <c r="E112" s="108" t="s">
        <v>1909</v>
      </c>
      <c r="F112" s="62"/>
      <c r="G112" s="26" t="s">
        <v>341</v>
      </c>
    </row>
    <row r="113" spans="2:7" ht="43.5" outlineLevel="1" x14ac:dyDescent="0.35">
      <c r="B113" s="84"/>
      <c r="C113" s="126"/>
      <c r="D113" s="108" t="s">
        <v>697</v>
      </c>
      <c r="E113" s="108" t="s">
        <v>698</v>
      </c>
      <c r="F113" s="62"/>
      <c r="G113" s="26" t="s">
        <v>341</v>
      </c>
    </row>
    <row r="114" spans="2:7" ht="29" outlineLevel="1" x14ac:dyDescent="0.35">
      <c r="B114" s="84"/>
      <c r="C114" s="126"/>
      <c r="D114" s="108" t="s">
        <v>699</v>
      </c>
      <c r="E114" s="108" t="s">
        <v>1251</v>
      </c>
      <c r="F114" s="62"/>
      <c r="G114" s="26" t="s">
        <v>341</v>
      </c>
    </row>
    <row r="115" spans="2:7" ht="29" outlineLevel="1" x14ac:dyDescent="0.35">
      <c r="B115" s="84"/>
      <c r="C115" s="124"/>
      <c r="D115" s="108" t="s">
        <v>951</v>
      </c>
      <c r="E115" s="108" t="s">
        <v>4376</v>
      </c>
      <c r="F115" s="62"/>
      <c r="G115" s="26" t="s">
        <v>341</v>
      </c>
    </row>
    <row r="116" spans="2:7" outlineLevel="1" x14ac:dyDescent="0.35">
      <c r="B116" s="84"/>
      <c r="C116" s="124"/>
      <c r="D116" s="108" t="s">
        <v>700</v>
      </c>
      <c r="E116" s="108" t="s">
        <v>828</v>
      </c>
      <c r="F116" s="62"/>
      <c r="G116" s="26" t="s">
        <v>341</v>
      </c>
    </row>
    <row r="117" spans="2:7" ht="29" outlineLevel="1" x14ac:dyDescent="0.35">
      <c r="B117" s="84"/>
      <c r="C117" s="124"/>
      <c r="D117" s="108" t="s">
        <v>701</v>
      </c>
      <c r="E117" s="108" t="s">
        <v>1254</v>
      </c>
      <c r="F117" s="62"/>
      <c r="G117" s="26" t="s">
        <v>341</v>
      </c>
    </row>
    <row r="118" spans="2:7" ht="29" outlineLevel="1" x14ac:dyDescent="0.35">
      <c r="B118" s="84"/>
      <c r="C118" s="126"/>
      <c r="D118" s="108" t="s">
        <v>879</v>
      </c>
      <c r="E118" s="108" t="s">
        <v>880</v>
      </c>
      <c r="G118" s="26" t="s">
        <v>341</v>
      </c>
    </row>
    <row r="119" spans="2:7" outlineLevel="1" x14ac:dyDescent="0.35">
      <c r="B119" s="84"/>
      <c r="C119" s="112"/>
      <c r="D119" s="108" t="s">
        <v>702</v>
      </c>
      <c r="E119" s="108" t="s">
        <v>829</v>
      </c>
      <c r="F119" s="62"/>
      <c r="G119" s="26" t="s">
        <v>341</v>
      </c>
    </row>
    <row r="120" spans="2:7" ht="29" outlineLevel="1" x14ac:dyDescent="0.35">
      <c r="B120" s="84"/>
      <c r="C120" s="112"/>
      <c r="D120" s="108" t="s">
        <v>703</v>
      </c>
      <c r="E120" s="108" t="s">
        <v>830</v>
      </c>
      <c r="F120" s="62"/>
      <c r="G120" s="26" t="s">
        <v>341</v>
      </c>
    </row>
    <row r="121" spans="2:7" outlineLevel="1" x14ac:dyDescent="0.35">
      <c r="B121" s="126"/>
      <c r="C121" s="124"/>
      <c r="D121" s="108" t="s">
        <v>704</v>
      </c>
      <c r="E121" s="108" t="s">
        <v>831</v>
      </c>
      <c r="F121" s="62"/>
      <c r="G121" s="26" t="s">
        <v>341</v>
      </c>
    </row>
    <row r="122" spans="2:7" ht="29" outlineLevel="1" x14ac:dyDescent="0.35">
      <c r="B122" s="84"/>
      <c r="C122" s="112"/>
      <c r="D122" s="108" t="s">
        <v>3610</v>
      </c>
      <c r="E122" s="108" t="s">
        <v>832</v>
      </c>
      <c r="F122" s="62"/>
      <c r="G122" s="26" t="s">
        <v>341</v>
      </c>
    </row>
    <row r="123" spans="2:7" ht="29" x14ac:dyDescent="0.35">
      <c r="B123" s="123"/>
      <c r="C123" s="123" t="s">
        <v>1297</v>
      </c>
      <c r="D123" s="47"/>
      <c r="E123" s="85"/>
      <c r="F123" s="62"/>
      <c r="G123" s="23">
        <f>COUNTIF(G124:G133,"Yes")</f>
        <v>10</v>
      </c>
    </row>
    <row r="124" spans="2:7" ht="72.5" outlineLevel="1" x14ac:dyDescent="0.35">
      <c r="B124" s="124"/>
      <c r="C124" s="84"/>
      <c r="D124" s="108" t="s">
        <v>3611</v>
      </c>
      <c r="E124" s="108" t="s">
        <v>1321</v>
      </c>
      <c r="F124" s="62"/>
      <c r="G124" s="26" t="s">
        <v>341</v>
      </c>
    </row>
    <row r="125" spans="2:7" ht="43.5" outlineLevel="1" x14ac:dyDescent="0.35">
      <c r="B125" s="124"/>
      <c r="C125" s="84"/>
      <c r="D125" s="108" t="s">
        <v>3612</v>
      </c>
      <c r="E125" s="108" t="s">
        <v>1443</v>
      </c>
      <c r="F125" s="62"/>
      <c r="G125" s="26" t="s">
        <v>341</v>
      </c>
    </row>
    <row r="126" spans="2:7" ht="43.5" outlineLevel="1" x14ac:dyDescent="0.35">
      <c r="B126" s="124"/>
      <c r="C126" s="84"/>
      <c r="D126" s="108" t="s">
        <v>3613</v>
      </c>
      <c r="E126" s="108" t="s">
        <v>1305</v>
      </c>
      <c r="F126" s="62"/>
      <c r="G126" s="26" t="s">
        <v>341</v>
      </c>
    </row>
    <row r="127" spans="2:7" ht="101.5" outlineLevel="1" x14ac:dyDescent="0.35">
      <c r="B127" s="124"/>
      <c r="C127" s="84"/>
      <c r="D127" s="108" t="s">
        <v>3614</v>
      </c>
      <c r="E127" s="108" t="s">
        <v>1482</v>
      </c>
      <c r="F127" s="62"/>
      <c r="G127" s="26" t="s">
        <v>341</v>
      </c>
    </row>
    <row r="128" spans="2:7" ht="145" outlineLevel="1" x14ac:dyDescent="0.35">
      <c r="B128" s="124"/>
      <c r="C128" s="84"/>
      <c r="D128" s="108" t="s">
        <v>1299</v>
      </c>
      <c r="E128" s="108" t="s">
        <v>3700</v>
      </c>
      <c r="F128" s="62"/>
      <c r="G128" s="26" t="s">
        <v>341</v>
      </c>
    </row>
    <row r="129" spans="2:7" ht="159.5" outlineLevel="1" x14ac:dyDescent="0.35">
      <c r="B129" s="124"/>
      <c r="C129" s="84"/>
      <c r="D129" s="108" t="s">
        <v>1302</v>
      </c>
      <c r="E129" s="108" t="s">
        <v>3701</v>
      </c>
      <c r="F129" s="62"/>
      <c r="G129" s="26" t="s">
        <v>341</v>
      </c>
    </row>
    <row r="130" spans="2:7" ht="43.5" outlineLevel="1" x14ac:dyDescent="0.35">
      <c r="B130" s="124"/>
      <c r="C130" s="84"/>
      <c r="D130" s="108" t="s">
        <v>1298</v>
      </c>
      <c r="E130" s="108" t="s">
        <v>1484</v>
      </c>
      <c r="F130" s="62"/>
      <c r="G130" s="26" t="s">
        <v>341</v>
      </c>
    </row>
    <row r="131" spans="2:7" ht="72.5" outlineLevel="1" x14ac:dyDescent="0.35">
      <c r="B131" s="124"/>
      <c r="C131" s="84"/>
      <c r="D131" s="108" t="s">
        <v>1300</v>
      </c>
      <c r="E131" s="108" t="s">
        <v>1386</v>
      </c>
      <c r="F131" s="62"/>
      <c r="G131" s="26" t="s">
        <v>341</v>
      </c>
    </row>
    <row r="132" spans="2:7" ht="43.5" outlineLevel="1" x14ac:dyDescent="0.35">
      <c r="B132" s="124"/>
      <c r="C132" s="84"/>
      <c r="D132" s="108" t="s">
        <v>1303</v>
      </c>
      <c r="E132" s="108" t="s">
        <v>1304</v>
      </c>
      <c r="F132" s="62"/>
      <c r="G132" s="26" t="s">
        <v>341</v>
      </c>
    </row>
    <row r="133" spans="2:7" ht="43.5" outlineLevel="1" x14ac:dyDescent="0.35">
      <c r="B133" s="124"/>
      <c r="C133" s="84"/>
      <c r="D133" s="108" t="s">
        <v>1301</v>
      </c>
      <c r="E133" s="108" t="s">
        <v>1320</v>
      </c>
      <c r="F133" s="62"/>
      <c r="G133" s="26" t="s">
        <v>341</v>
      </c>
    </row>
    <row r="134" spans="2:7" x14ac:dyDescent="0.35">
      <c r="G134" s="8"/>
    </row>
    <row r="135" spans="2:7" x14ac:dyDescent="0.35">
      <c r="G135" s="116"/>
    </row>
    <row r="136" spans="2:7" x14ac:dyDescent="0.35">
      <c r="G136" s="79"/>
    </row>
    <row r="137" spans="2:7" x14ac:dyDescent="0.35">
      <c r="G137" s="79"/>
    </row>
    <row r="138" spans="2:7" x14ac:dyDescent="0.35">
      <c r="G138" s="79"/>
    </row>
    <row r="139" spans="2:7" x14ac:dyDescent="0.35">
      <c r="G139" s="79"/>
    </row>
    <row r="140" spans="2:7" x14ac:dyDescent="0.35">
      <c r="G140" s="79"/>
    </row>
    <row r="141" spans="2:7" x14ac:dyDescent="0.35">
      <c r="G141" s="8"/>
    </row>
    <row r="142" spans="2:7" x14ac:dyDescent="0.35">
      <c r="G142" s="8"/>
    </row>
    <row r="143" spans="2:7" x14ac:dyDescent="0.35">
      <c r="G143" s="8"/>
    </row>
    <row r="144" spans="2:7" x14ac:dyDescent="0.35">
      <c r="G144" s="8"/>
    </row>
    <row r="145" spans="7:7" x14ac:dyDescent="0.35">
      <c r="G145" s="116"/>
    </row>
    <row r="146" spans="7:7" x14ac:dyDescent="0.35">
      <c r="G146" s="8"/>
    </row>
    <row r="147" spans="7:7" x14ac:dyDescent="0.35">
      <c r="G147" s="8"/>
    </row>
    <row r="148" spans="7:7" x14ac:dyDescent="0.35">
      <c r="G148" s="8"/>
    </row>
    <row r="149" spans="7:7" x14ac:dyDescent="0.35">
      <c r="G149" s="116"/>
    </row>
    <row r="150" spans="7:7" x14ac:dyDescent="0.35">
      <c r="G150" s="8"/>
    </row>
    <row r="151" spans="7:7" x14ac:dyDescent="0.35">
      <c r="G151" s="8"/>
    </row>
    <row r="152" spans="7:7" x14ac:dyDescent="0.35">
      <c r="G152" s="8"/>
    </row>
    <row r="153" spans="7:7" x14ac:dyDescent="0.35">
      <c r="G153" s="8"/>
    </row>
    <row r="154" spans="7:7" x14ac:dyDescent="0.35">
      <c r="G154" s="8"/>
    </row>
    <row r="155" spans="7:7" x14ac:dyDescent="0.35">
      <c r="G155" s="115"/>
    </row>
    <row r="156" spans="7:7" x14ac:dyDescent="0.35">
      <c r="G156" s="116"/>
    </row>
    <row r="157" spans="7:7" x14ac:dyDescent="0.35">
      <c r="G157" s="8"/>
    </row>
    <row r="158" spans="7:7" x14ac:dyDescent="0.35">
      <c r="G158" s="116"/>
    </row>
    <row r="159" spans="7:7" x14ac:dyDescent="0.35">
      <c r="G159" s="8"/>
    </row>
    <row r="160" spans="7:7" x14ac:dyDescent="0.35">
      <c r="G160" s="8"/>
    </row>
    <row r="161" spans="7:7" x14ac:dyDescent="0.35">
      <c r="G161" s="116"/>
    </row>
    <row r="162" spans="7:7" x14ac:dyDescent="0.35">
      <c r="G162" s="8"/>
    </row>
    <row r="163" spans="7:7" x14ac:dyDescent="0.35">
      <c r="G163" s="8"/>
    </row>
    <row r="164" spans="7:7" x14ac:dyDescent="0.35">
      <c r="G164" s="90"/>
    </row>
    <row r="165" spans="7:7" x14ac:dyDescent="0.35">
      <c r="G165" s="90"/>
    </row>
    <row r="166" spans="7:7" x14ac:dyDescent="0.35">
      <c r="G166" s="90"/>
    </row>
    <row r="167" spans="7:7" x14ac:dyDescent="0.35">
      <c r="G167" s="90"/>
    </row>
    <row r="168" spans="7:7" x14ac:dyDescent="0.35">
      <c r="G168" s="90"/>
    </row>
    <row r="169" spans="7:7" x14ac:dyDescent="0.35">
      <c r="G169" s="90"/>
    </row>
    <row r="170" spans="7:7" x14ac:dyDescent="0.35">
      <c r="G170" s="90"/>
    </row>
    <row r="171" spans="7:7" x14ac:dyDescent="0.35">
      <c r="G171" s="90"/>
    </row>
  </sheetData>
  <sortState xmlns:xlrd2="http://schemas.microsoft.com/office/spreadsheetml/2017/richdata2" ref="B124:BI133">
    <sortCondition ref="D124"/>
  </sortState>
  <mergeCells count="2">
    <mergeCell ref="B6:D6"/>
    <mergeCell ref="G3:G4"/>
  </mergeCells>
  <dataValidations count="1">
    <dataValidation type="list" allowBlank="1" showInputMessage="1" showErrorMessage="1" sqref="G138:G144 G124:G134 G136 G159:G160 G157 G150:G154 G162:G163 G146:G148 G20:G23 G11 G25:G26 G13:G18 G87:G122 G28:G46 G48:G85" xr:uid="{00000000-0002-0000-0900-000000000000}">
      <formula1>"Yes, No"</formula1>
    </dataValidation>
  </dataValidations>
  <pageMargins left="0.7" right="0.7" top="0.75" bottom="0.75" header="0.3" footer="0.3"/>
  <pageSetup orientation="portrait" horizontalDpi="1200" verticalDpi="1200" r:id="rId1"/>
  <ignoredErrors>
    <ignoredError sqref="G3" emptyCellReference="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A6669-24F1-44D4-AFA4-C3256B4F471B}">
  <sheetPr>
    <tabColor rgb="FF293276"/>
  </sheetPr>
  <dimension ref="A1:H138"/>
  <sheetViews>
    <sheetView showGridLines="0" zoomScale="80" zoomScaleNormal="80" workbookViewId="0">
      <selection activeCell="C2" sqref="C2"/>
    </sheetView>
  </sheetViews>
  <sheetFormatPr defaultColWidth="9.1796875" defaultRowHeight="14.5" outlineLevelRow="1" x14ac:dyDescent="0.35"/>
  <cols>
    <col min="1" max="1" width="2.1796875" style="79" customWidth="1"/>
    <col min="2" max="3" width="30.6328125" style="79" customWidth="1"/>
    <col min="4" max="4" width="50.6328125" style="96" customWidth="1"/>
    <col min="5" max="5" width="76.6328125" style="96" customWidth="1"/>
    <col min="6" max="6" width="2.1796875" style="79" customWidth="1"/>
    <col min="7" max="7" width="9.1796875" style="98"/>
    <col min="8" max="16384" width="9.1796875" style="79"/>
  </cols>
  <sheetData>
    <row r="1" spans="1:8" s="58" customFormat="1" ht="18.5" customHeight="1" x14ac:dyDescent="0.5">
      <c r="A1" s="61"/>
      <c r="B1" s="69"/>
      <c r="C1" s="69"/>
      <c r="D1" s="100"/>
      <c r="F1" s="9"/>
    </row>
    <row r="2" spans="1:8" s="58" customFormat="1" ht="14.5" customHeight="1" x14ac:dyDescent="0.35">
      <c r="B2" s="151"/>
      <c r="C2" s="151"/>
      <c r="D2" s="15" t="s">
        <v>41</v>
      </c>
      <c r="E2" s="15" t="s">
        <v>346</v>
      </c>
      <c r="G2" s="13" t="s">
        <v>342</v>
      </c>
    </row>
    <row r="3" spans="1:8" s="58" customFormat="1" ht="14.5" customHeight="1" x14ac:dyDescent="0.35">
      <c r="B3" s="151"/>
      <c r="C3" s="151"/>
      <c r="D3" s="11" t="s">
        <v>226</v>
      </c>
      <c r="E3" s="11">
        <f>COUNTIF(E8:E15,"*")</f>
        <v>5</v>
      </c>
      <c r="G3" s="185">
        <f>COUNTIF(G8:G15,"Yes")</f>
        <v>5</v>
      </c>
    </row>
    <row r="4" spans="1:8" s="58" customFormat="1" ht="14.5" customHeight="1" x14ac:dyDescent="0.35">
      <c r="B4" s="151"/>
      <c r="C4" s="151"/>
      <c r="D4" s="15" t="s">
        <v>79</v>
      </c>
      <c r="E4" s="15" t="str">
        <f>'(6) Online Channels'!E4</f>
        <v>R25 Model Bank</v>
      </c>
      <c r="G4" s="186"/>
    </row>
    <row r="5" spans="1:8" ht="18.5" customHeight="1" x14ac:dyDescent="0.35">
      <c r="E5" s="15"/>
      <c r="G5" s="9"/>
    </row>
    <row r="6" spans="1:8" x14ac:dyDescent="0.35">
      <c r="B6" s="197"/>
      <c r="C6" s="198"/>
      <c r="D6" s="198"/>
      <c r="E6" s="117"/>
      <c r="G6" s="18" t="s">
        <v>340</v>
      </c>
      <c r="H6" s="74"/>
    </row>
    <row r="7" spans="1:8" x14ac:dyDescent="0.35">
      <c r="B7" s="75" t="s">
        <v>83</v>
      </c>
      <c r="C7" s="75" t="s">
        <v>86</v>
      </c>
      <c r="D7" s="75" t="s">
        <v>87</v>
      </c>
      <c r="E7" s="75" t="s">
        <v>54</v>
      </c>
      <c r="G7" s="76" t="s">
        <v>342</v>
      </c>
    </row>
    <row r="8" spans="1:8" x14ac:dyDescent="0.35">
      <c r="B8" s="77" t="s">
        <v>859</v>
      </c>
      <c r="C8" s="77"/>
      <c r="D8" s="2"/>
      <c r="E8" s="2"/>
      <c r="G8" s="29"/>
    </row>
    <row r="9" spans="1:8" x14ac:dyDescent="0.35">
      <c r="B9" s="77"/>
      <c r="C9" s="77" t="s">
        <v>260</v>
      </c>
      <c r="D9" s="2"/>
      <c r="E9" s="2"/>
      <c r="G9" s="23">
        <f>COUNTIF(G10:G11,"Yes")</f>
        <v>2</v>
      </c>
      <c r="H9" s="74"/>
    </row>
    <row r="10" spans="1:8" ht="29" outlineLevel="1" x14ac:dyDescent="0.35">
      <c r="B10" s="77"/>
      <c r="C10" s="77"/>
      <c r="D10" s="2" t="s">
        <v>300</v>
      </c>
      <c r="E10" s="2" t="s">
        <v>3703</v>
      </c>
      <c r="F10" s="62"/>
      <c r="G10" s="26" t="s">
        <v>341</v>
      </c>
    </row>
    <row r="11" spans="1:8" ht="43.5" outlineLevel="1" x14ac:dyDescent="0.35">
      <c r="B11" s="2"/>
      <c r="C11" s="77"/>
      <c r="D11" s="2" t="s">
        <v>1218</v>
      </c>
      <c r="E11" s="2" t="s">
        <v>1492</v>
      </c>
      <c r="F11" s="62"/>
      <c r="G11" s="26" t="s">
        <v>341</v>
      </c>
    </row>
    <row r="12" spans="1:8" x14ac:dyDescent="0.35">
      <c r="B12" s="2"/>
      <c r="C12" s="77" t="s">
        <v>261</v>
      </c>
      <c r="D12" s="1"/>
      <c r="E12" s="2"/>
      <c r="F12" s="62"/>
      <c r="G12" s="23">
        <f>COUNTIF(G13:G15,"Yes")</f>
        <v>3</v>
      </c>
      <c r="H12" s="74"/>
    </row>
    <row r="13" spans="1:8" ht="43.5" outlineLevel="1" x14ac:dyDescent="0.35">
      <c r="B13" s="2"/>
      <c r="C13" s="2"/>
      <c r="D13" s="2" t="s">
        <v>301</v>
      </c>
      <c r="E13" s="2" t="s">
        <v>262</v>
      </c>
      <c r="F13" s="62"/>
      <c r="G13" s="26" t="s">
        <v>341</v>
      </c>
    </row>
    <row r="14" spans="1:8" ht="43.5" outlineLevel="1" x14ac:dyDescent="0.35">
      <c r="B14" s="2"/>
      <c r="C14" s="2"/>
      <c r="D14" s="2" t="s">
        <v>302</v>
      </c>
      <c r="E14" s="2" t="s">
        <v>2262</v>
      </c>
      <c r="F14" s="62"/>
      <c r="G14" s="26" t="s">
        <v>341</v>
      </c>
    </row>
    <row r="15" spans="1:8" ht="43.5" outlineLevel="1" x14ac:dyDescent="0.35">
      <c r="B15" s="2"/>
      <c r="C15" s="2"/>
      <c r="D15" s="2" t="s">
        <v>299</v>
      </c>
      <c r="E15" s="2" t="s">
        <v>738</v>
      </c>
      <c r="F15" s="62"/>
      <c r="G15" s="26" t="s">
        <v>341</v>
      </c>
    </row>
    <row r="16" spans="1:8" x14ac:dyDescent="0.35">
      <c r="G16" s="133"/>
    </row>
    <row r="17" spans="7:7" x14ac:dyDescent="0.35">
      <c r="G17" s="133"/>
    </row>
    <row r="18" spans="7:7" x14ac:dyDescent="0.35">
      <c r="G18" s="133"/>
    </row>
    <row r="19" spans="7:7" x14ac:dyDescent="0.35">
      <c r="G19" s="133"/>
    </row>
    <row r="20" spans="7:7" x14ac:dyDescent="0.35">
      <c r="G20" s="133"/>
    </row>
    <row r="21" spans="7:7" x14ac:dyDescent="0.35">
      <c r="G21" s="133"/>
    </row>
    <row r="22" spans="7:7" x14ac:dyDescent="0.35">
      <c r="G22" s="133"/>
    </row>
    <row r="23" spans="7:7" x14ac:dyDescent="0.35">
      <c r="G23" s="133"/>
    </row>
    <row r="24" spans="7:7" x14ac:dyDescent="0.35">
      <c r="G24" s="133"/>
    </row>
    <row r="25" spans="7:7" x14ac:dyDescent="0.35">
      <c r="G25" s="133"/>
    </row>
    <row r="26" spans="7:7" x14ac:dyDescent="0.35">
      <c r="G26" s="133"/>
    </row>
    <row r="27" spans="7:7" x14ac:dyDescent="0.35">
      <c r="G27" s="133"/>
    </row>
    <row r="28" spans="7:7" x14ac:dyDescent="0.35">
      <c r="G28" s="133"/>
    </row>
    <row r="29" spans="7:7" x14ac:dyDescent="0.35">
      <c r="G29" s="133"/>
    </row>
    <row r="30" spans="7:7" x14ac:dyDescent="0.35">
      <c r="G30" s="133"/>
    </row>
    <row r="31" spans="7:7" x14ac:dyDescent="0.35">
      <c r="G31" s="133"/>
    </row>
    <row r="32" spans="7:7" x14ac:dyDescent="0.35">
      <c r="G32" s="133"/>
    </row>
    <row r="33" spans="7:7" x14ac:dyDescent="0.35">
      <c r="G33" s="133"/>
    </row>
    <row r="34" spans="7:7" x14ac:dyDescent="0.35">
      <c r="G34" s="133"/>
    </row>
    <row r="35" spans="7:7" x14ac:dyDescent="0.35">
      <c r="G35" s="133"/>
    </row>
    <row r="36" spans="7:7" x14ac:dyDescent="0.35">
      <c r="G36" s="133"/>
    </row>
    <row r="37" spans="7:7" x14ac:dyDescent="0.35">
      <c r="G37" s="133"/>
    </row>
    <row r="38" spans="7:7" x14ac:dyDescent="0.35">
      <c r="G38" s="133"/>
    </row>
    <row r="39" spans="7:7" x14ac:dyDescent="0.35">
      <c r="G39" s="133"/>
    </row>
    <row r="40" spans="7:7" x14ac:dyDescent="0.35">
      <c r="G40" s="133"/>
    </row>
    <row r="41" spans="7:7" x14ac:dyDescent="0.35">
      <c r="G41" s="133"/>
    </row>
    <row r="42" spans="7:7" x14ac:dyDescent="0.35">
      <c r="G42" s="133"/>
    </row>
    <row r="43" spans="7:7" x14ac:dyDescent="0.35">
      <c r="G43" s="133"/>
    </row>
    <row r="44" spans="7:7" x14ac:dyDescent="0.35">
      <c r="G44" s="133"/>
    </row>
    <row r="45" spans="7:7" x14ac:dyDescent="0.35">
      <c r="G45" s="133"/>
    </row>
    <row r="46" spans="7:7" x14ac:dyDescent="0.35">
      <c r="G46" s="133"/>
    </row>
    <row r="47" spans="7:7" x14ac:dyDescent="0.35">
      <c r="G47" s="133"/>
    </row>
    <row r="48" spans="7:7" x14ac:dyDescent="0.35">
      <c r="G48" s="133"/>
    </row>
    <row r="49" spans="7:7" x14ac:dyDescent="0.35">
      <c r="G49" s="133"/>
    </row>
    <row r="50" spans="7:7" x14ac:dyDescent="0.35">
      <c r="G50" s="133"/>
    </row>
    <row r="51" spans="7:7" x14ac:dyDescent="0.35">
      <c r="G51" s="133"/>
    </row>
    <row r="52" spans="7:7" x14ac:dyDescent="0.35">
      <c r="G52" s="133"/>
    </row>
    <row r="53" spans="7:7" x14ac:dyDescent="0.35">
      <c r="G53" s="133"/>
    </row>
    <row r="54" spans="7:7" x14ac:dyDescent="0.35">
      <c r="G54" s="133"/>
    </row>
    <row r="55" spans="7:7" x14ac:dyDescent="0.35">
      <c r="G55" s="133"/>
    </row>
    <row r="56" spans="7:7" x14ac:dyDescent="0.35">
      <c r="G56" s="133"/>
    </row>
    <row r="57" spans="7:7" x14ac:dyDescent="0.35">
      <c r="G57" s="133"/>
    </row>
    <row r="58" spans="7:7" x14ac:dyDescent="0.35">
      <c r="G58" s="133"/>
    </row>
    <row r="59" spans="7:7" x14ac:dyDescent="0.35">
      <c r="G59" s="133"/>
    </row>
    <row r="60" spans="7:7" x14ac:dyDescent="0.35">
      <c r="G60" s="133"/>
    </row>
    <row r="61" spans="7:7" x14ac:dyDescent="0.35">
      <c r="G61" s="133"/>
    </row>
    <row r="62" spans="7:7" x14ac:dyDescent="0.35">
      <c r="G62" s="133"/>
    </row>
    <row r="63" spans="7:7" x14ac:dyDescent="0.35">
      <c r="G63" s="133"/>
    </row>
    <row r="64" spans="7:7" x14ac:dyDescent="0.35">
      <c r="G64" s="133"/>
    </row>
    <row r="65" spans="7:7" x14ac:dyDescent="0.35">
      <c r="G65" s="133"/>
    </row>
    <row r="66" spans="7:7" x14ac:dyDescent="0.35">
      <c r="G66" s="133"/>
    </row>
    <row r="67" spans="7:7" x14ac:dyDescent="0.35">
      <c r="G67" s="133"/>
    </row>
    <row r="68" spans="7:7" x14ac:dyDescent="0.35">
      <c r="G68" s="133"/>
    </row>
    <row r="69" spans="7:7" x14ac:dyDescent="0.35">
      <c r="G69" s="133"/>
    </row>
    <row r="70" spans="7:7" x14ac:dyDescent="0.35">
      <c r="G70" s="133"/>
    </row>
    <row r="71" spans="7:7" x14ac:dyDescent="0.35">
      <c r="G71" s="133"/>
    </row>
    <row r="72" spans="7:7" x14ac:dyDescent="0.35">
      <c r="G72" s="133"/>
    </row>
    <row r="73" spans="7:7" x14ac:dyDescent="0.35">
      <c r="G73" s="133"/>
    </row>
    <row r="74" spans="7:7" x14ac:dyDescent="0.35">
      <c r="G74" s="133"/>
    </row>
    <row r="75" spans="7:7" x14ac:dyDescent="0.35">
      <c r="G75" s="133"/>
    </row>
    <row r="76" spans="7:7" x14ac:dyDescent="0.35">
      <c r="G76" s="133"/>
    </row>
    <row r="77" spans="7:7" x14ac:dyDescent="0.35">
      <c r="G77" s="133"/>
    </row>
    <row r="78" spans="7:7" x14ac:dyDescent="0.35">
      <c r="G78" s="133"/>
    </row>
    <row r="79" spans="7:7" x14ac:dyDescent="0.35">
      <c r="G79" s="133"/>
    </row>
    <row r="80" spans="7:7" x14ac:dyDescent="0.35">
      <c r="G80" s="133"/>
    </row>
    <row r="81" spans="7:7" x14ac:dyDescent="0.35">
      <c r="G81" s="133"/>
    </row>
    <row r="82" spans="7:7" x14ac:dyDescent="0.35">
      <c r="G82" s="133"/>
    </row>
    <row r="83" spans="7:7" x14ac:dyDescent="0.35">
      <c r="G83" s="133"/>
    </row>
    <row r="84" spans="7:7" x14ac:dyDescent="0.35">
      <c r="G84" s="133"/>
    </row>
    <row r="85" spans="7:7" x14ac:dyDescent="0.35">
      <c r="G85" s="133"/>
    </row>
    <row r="86" spans="7:7" x14ac:dyDescent="0.35">
      <c r="G86" s="133"/>
    </row>
    <row r="87" spans="7:7" x14ac:dyDescent="0.35">
      <c r="G87" s="133"/>
    </row>
    <row r="88" spans="7:7" x14ac:dyDescent="0.35">
      <c r="G88" s="133"/>
    </row>
    <row r="89" spans="7:7" x14ac:dyDescent="0.35">
      <c r="G89" s="133"/>
    </row>
    <row r="90" spans="7:7" x14ac:dyDescent="0.35">
      <c r="G90" s="133"/>
    </row>
    <row r="91" spans="7:7" x14ac:dyDescent="0.35">
      <c r="G91" s="133"/>
    </row>
    <row r="92" spans="7:7" x14ac:dyDescent="0.35">
      <c r="G92" s="133"/>
    </row>
    <row r="93" spans="7:7" x14ac:dyDescent="0.35">
      <c r="G93" s="133"/>
    </row>
    <row r="94" spans="7:7" x14ac:dyDescent="0.35">
      <c r="G94" s="133"/>
    </row>
    <row r="95" spans="7:7" x14ac:dyDescent="0.35">
      <c r="G95" s="133"/>
    </row>
    <row r="96" spans="7:7" x14ac:dyDescent="0.35">
      <c r="G96" s="133"/>
    </row>
    <row r="97" spans="7:7" x14ac:dyDescent="0.35">
      <c r="G97" s="8"/>
    </row>
    <row r="98" spans="7:7" x14ac:dyDescent="0.35">
      <c r="G98" s="8"/>
    </row>
    <row r="99" spans="7:7" x14ac:dyDescent="0.35">
      <c r="G99" s="8"/>
    </row>
    <row r="100" spans="7:7" x14ac:dyDescent="0.35">
      <c r="G100" s="8"/>
    </row>
    <row r="101" spans="7:7" x14ac:dyDescent="0.35">
      <c r="G101" s="8"/>
    </row>
    <row r="102" spans="7:7" x14ac:dyDescent="0.35">
      <c r="G102" s="116"/>
    </row>
    <row r="103" spans="7:7" x14ac:dyDescent="0.35">
      <c r="G103" s="8"/>
    </row>
    <row r="104" spans="7:7" x14ac:dyDescent="0.35">
      <c r="G104" s="116"/>
    </row>
    <row r="105" spans="7:7" x14ac:dyDescent="0.35">
      <c r="G105" s="8"/>
    </row>
    <row r="106" spans="7:7" x14ac:dyDescent="0.35">
      <c r="G106" s="8"/>
    </row>
    <row r="107" spans="7:7" x14ac:dyDescent="0.35">
      <c r="G107" s="8"/>
    </row>
    <row r="108" spans="7:7" x14ac:dyDescent="0.35">
      <c r="G108" s="8"/>
    </row>
    <row r="109" spans="7:7" x14ac:dyDescent="0.35">
      <c r="G109" s="8"/>
    </row>
    <row r="110" spans="7:7" x14ac:dyDescent="0.35">
      <c r="G110" s="8"/>
    </row>
    <row r="111" spans="7:7" x14ac:dyDescent="0.35">
      <c r="G111" s="8"/>
    </row>
    <row r="112" spans="7:7" x14ac:dyDescent="0.35">
      <c r="G112" s="116"/>
    </row>
    <row r="113" spans="7:7" x14ac:dyDescent="0.35">
      <c r="G113" s="8"/>
    </row>
    <row r="114" spans="7:7" x14ac:dyDescent="0.35">
      <c r="G114" s="8"/>
    </row>
    <row r="115" spans="7:7" x14ac:dyDescent="0.35">
      <c r="G115" s="8"/>
    </row>
    <row r="116" spans="7:7" x14ac:dyDescent="0.35">
      <c r="G116" s="116"/>
    </row>
    <row r="117" spans="7:7" x14ac:dyDescent="0.35">
      <c r="G117" s="8"/>
    </row>
    <row r="118" spans="7:7" x14ac:dyDescent="0.35">
      <c r="G118" s="8"/>
    </row>
    <row r="119" spans="7:7" x14ac:dyDescent="0.35">
      <c r="G119" s="8"/>
    </row>
    <row r="120" spans="7:7" x14ac:dyDescent="0.35">
      <c r="G120" s="8"/>
    </row>
    <row r="121" spans="7:7" x14ac:dyDescent="0.35">
      <c r="G121" s="8"/>
    </row>
    <row r="122" spans="7:7" x14ac:dyDescent="0.35">
      <c r="G122" s="115"/>
    </row>
    <row r="123" spans="7:7" x14ac:dyDescent="0.35">
      <c r="G123" s="116"/>
    </row>
    <row r="124" spans="7:7" x14ac:dyDescent="0.35">
      <c r="G124" s="8"/>
    </row>
    <row r="125" spans="7:7" x14ac:dyDescent="0.35">
      <c r="G125" s="116"/>
    </row>
    <row r="126" spans="7:7" x14ac:dyDescent="0.35">
      <c r="G126" s="8"/>
    </row>
    <row r="127" spans="7:7" x14ac:dyDescent="0.35">
      <c r="G127" s="8"/>
    </row>
    <row r="128" spans="7:7" x14ac:dyDescent="0.35">
      <c r="G128" s="116"/>
    </row>
    <row r="129" spans="7:7" x14ac:dyDescent="0.35">
      <c r="G129" s="8"/>
    </row>
    <row r="130" spans="7:7" x14ac:dyDescent="0.35">
      <c r="G130" s="8"/>
    </row>
    <row r="131" spans="7:7" x14ac:dyDescent="0.35">
      <c r="G131" s="90"/>
    </row>
    <row r="132" spans="7:7" x14ac:dyDescent="0.35">
      <c r="G132" s="90"/>
    </row>
    <row r="133" spans="7:7" x14ac:dyDescent="0.35">
      <c r="G133" s="90"/>
    </row>
    <row r="134" spans="7:7" x14ac:dyDescent="0.35">
      <c r="G134" s="90"/>
    </row>
    <row r="135" spans="7:7" x14ac:dyDescent="0.35">
      <c r="G135" s="90"/>
    </row>
    <row r="136" spans="7:7" x14ac:dyDescent="0.35">
      <c r="G136" s="90"/>
    </row>
    <row r="137" spans="7:7" x14ac:dyDescent="0.35">
      <c r="G137" s="90"/>
    </row>
    <row r="138" spans="7:7" x14ac:dyDescent="0.35">
      <c r="G138" s="90"/>
    </row>
  </sheetData>
  <mergeCells count="2">
    <mergeCell ref="G3:G4"/>
    <mergeCell ref="B6:D6"/>
  </mergeCells>
  <dataValidations count="1">
    <dataValidation type="list" allowBlank="1" showInputMessage="1" showErrorMessage="1" sqref="G97:G101 G103 G105:G111 G113:G115 G129:G130 G117:G121 G124 G126:G127 G10:G11 G13:G15" xr:uid="{19F1B6FF-FE4C-40B6-AE0F-A2B00CCEAF9E}">
      <formula1>"Yes, No"</formula1>
    </dataValidation>
  </dataValidation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293276"/>
  </sheetPr>
  <dimension ref="B1:H139"/>
  <sheetViews>
    <sheetView showGridLines="0" zoomScale="80" zoomScaleNormal="80" workbookViewId="0">
      <selection activeCell="C2" sqref="C2"/>
    </sheetView>
  </sheetViews>
  <sheetFormatPr defaultColWidth="9.1796875" defaultRowHeight="14.5" outlineLevelRow="1" x14ac:dyDescent="0.35"/>
  <cols>
    <col min="1" max="1" width="2.1796875" style="79" customWidth="1"/>
    <col min="2" max="3" width="30.6328125" style="79" customWidth="1"/>
    <col min="4" max="4" width="50.6328125" style="96" customWidth="1"/>
    <col min="5" max="5" width="76.6328125" style="96" customWidth="1"/>
    <col min="6" max="6" width="2.1796875" style="79" customWidth="1"/>
    <col min="7" max="7" width="9.1796875" style="98"/>
    <col min="8" max="16384" width="9.1796875" style="79"/>
  </cols>
  <sheetData>
    <row r="1" spans="2:8" s="58" customFormat="1" ht="18.5" customHeight="1" x14ac:dyDescent="0.5">
      <c r="B1" s="61"/>
      <c r="C1" s="69"/>
      <c r="D1" s="69"/>
      <c r="E1" s="100"/>
      <c r="G1" s="9"/>
    </row>
    <row r="2" spans="2:8" s="58" customFormat="1" ht="14.5" customHeight="1" x14ac:dyDescent="0.35">
      <c r="B2" s="193"/>
      <c r="C2" s="151"/>
      <c r="D2" s="15" t="s">
        <v>41</v>
      </c>
      <c r="E2" s="15" t="s">
        <v>737</v>
      </c>
      <c r="G2" s="13" t="s">
        <v>342</v>
      </c>
    </row>
    <row r="3" spans="2:8" s="58" customFormat="1" ht="14.5" customHeight="1" x14ac:dyDescent="0.35">
      <c r="B3" s="193"/>
      <c r="C3" s="151"/>
      <c r="D3" s="11" t="s">
        <v>226</v>
      </c>
      <c r="E3" s="11">
        <f>COUNTIF(E8:E48,"*")</f>
        <v>34</v>
      </c>
      <c r="G3" s="185">
        <f>COUNTIF(G8:G48,"Yes")</f>
        <v>34</v>
      </c>
    </row>
    <row r="4" spans="2:8" s="58" customFormat="1" ht="14.5" customHeight="1" x14ac:dyDescent="0.35">
      <c r="B4" s="193"/>
      <c r="C4" s="151"/>
      <c r="D4" s="15" t="s">
        <v>79</v>
      </c>
      <c r="E4" s="15" t="str">
        <f>'(20) Financial Risk (FRM)  '!E4</f>
        <v>R25 Model Bank</v>
      </c>
      <c r="G4" s="186"/>
    </row>
    <row r="5" spans="2:8" ht="18.5" customHeight="1" x14ac:dyDescent="0.35">
      <c r="E5" s="121"/>
      <c r="G5" s="9"/>
    </row>
    <row r="6" spans="2:8" x14ac:dyDescent="0.35">
      <c r="B6" s="197"/>
      <c r="C6" s="198"/>
      <c r="D6" s="198"/>
      <c r="E6" s="122"/>
      <c r="G6" s="18" t="s">
        <v>340</v>
      </c>
      <c r="H6" s="74"/>
    </row>
    <row r="7" spans="2:8" x14ac:dyDescent="0.35">
      <c r="B7" s="75" t="s">
        <v>83</v>
      </c>
      <c r="C7" s="75" t="s">
        <v>86</v>
      </c>
      <c r="D7" s="75" t="s">
        <v>87</v>
      </c>
      <c r="E7" s="75" t="s">
        <v>54</v>
      </c>
      <c r="G7" s="76" t="s">
        <v>342</v>
      </c>
    </row>
    <row r="8" spans="2:8" ht="29" x14ac:dyDescent="0.35">
      <c r="B8" s="77" t="s">
        <v>737</v>
      </c>
      <c r="C8" s="77"/>
      <c r="D8" s="2"/>
      <c r="E8" s="2"/>
      <c r="G8" s="88"/>
    </row>
    <row r="9" spans="2:8" ht="29" x14ac:dyDescent="0.35">
      <c r="B9" s="77"/>
      <c r="C9" s="77" t="s">
        <v>308</v>
      </c>
      <c r="D9" s="2"/>
      <c r="E9" s="2"/>
      <c r="G9" s="23">
        <f>COUNTIF(G10:G15,"Yes")</f>
        <v>6</v>
      </c>
      <c r="H9" s="74"/>
    </row>
    <row r="10" spans="2:8" ht="29" outlineLevel="1" x14ac:dyDescent="0.35">
      <c r="B10" s="77"/>
      <c r="C10" s="77"/>
      <c r="D10" s="2" t="s">
        <v>305</v>
      </c>
      <c r="E10" s="2" t="s">
        <v>3960</v>
      </c>
      <c r="F10" s="62"/>
      <c r="G10" s="26" t="s">
        <v>341</v>
      </c>
    </row>
    <row r="11" spans="2:8" ht="29" outlineLevel="1" x14ac:dyDescent="0.35">
      <c r="B11" s="77"/>
      <c r="C11" s="156"/>
      <c r="D11" s="2" t="s">
        <v>312</v>
      </c>
      <c r="E11" s="2" t="s">
        <v>3966</v>
      </c>
      <c r="F11" s="62"/>
      <c r="G11" s="26" t="s">
        <v>341</v>
      </c>
    </row>
    <row r="12" spans="2:8" ht="43.5" outlineLevel="1" x14ac:dyDescent="0.35">
      <c r="B12" s="77"/>
      <c r="C12" s="77"/>
      <c r="D12" s="2" t="s">
        <v>313</v>
      </c>
      <c r="E12" s="2" t="s">
        <v>3968</v>
      </c>
      <c r="F12" s="62"/>
      <c r="G12" s="26" t="s">
        <v>341</v>
      </c>
    </row>
    <row r="13" spans="2:8" ht="43.5" outlineLevel="1" x14ac:dyDescent="0.35">
      <c r="B13" s="77"/>
      <c r="C13" s="77"/>
      <c r="D13" s="2" t="s">
        <v>314</v>
      </c>
      <c r="E13" s="2" t="s">
        <v>3005</v>
      </c>
      <c r="F13" s="62"/>
      <c r="G13" s="26" t="s">
        <v>341</v>
      </c>
    </row>
    <row r="14" spans="2:8" ht="43.5" outlineLevel="1" x14ac:dyDescent="0.35">
      <c r="B14" s="77"/>
      <c r="C14" s="77"/>
      <c r="D14" s="2" t="s">
        <v>315</v>
      </c>
      <c r="E14" s="2" t="s">
        <v>899</v>
      </c>
      <c r="F14" s="62"/>
      <c r="G14" s="26" t="s">
        <v>341</v>
      </c>
    </row>
    <row r="15" spans="2:8" ht="29" outlineLevel="1" x14ac:dyDescent="0.35">
      <c r="B15" s="77"/>
      <c r="C15" s="77"/>
      <c r="D15" s="2" t="s">
        <v>354</v>
      </c>
      <c r="E15" s="2" t="s">
        <v>306</v>
      </c>
      <c r="F15" s="62"/>
      <c r="G15" s="26" t="s">
        <v>341</v>
      </c>
    </row>
    <row r="16" spans="2:8" ht="29" x14ac:dyDescent="0.35">
      <c r="B16" s="2"/>
      <c r="C16" s="77" t="s">
        <v>309</v>
      </c>
      <c r="D16" s="1"/>
      <c r="E16" s="2"/>
      <c r="F16" s="62"/>
      <c r="G16" s="23">
        <f>COUNTIF(G17:G24,"Yes")</f>
        <v>8</v>
      </c>
      <c r="H16" s="74"/>
    </row>
    <row r="17" spans="2:8" ht="29" outlineLevel="1" x14ac:dyDescent="0.35">
      <c r="B17" s="2"/>
      <c r="C17" s="77"/>
      <c r="D17" s="2" t="s">
        <v>1219</v>
      </c>
      <c r="E17" s="2" t="s">
        <v>3918</v>
      </c>
      <c r="F17" s="62"/>
      <c r="G17" s="26" t="s">
        <v>341</v>
      </c>
    </row>
    <row r="18" spans="2:8" outlineLevel="1" x14ac:dyDescent="0.35">
      <c r="B18" s="2"/>
      <c r="C18" s="2"/>
      <c r="D18" s="2" t="s">
        <v>316</v>
      </c>
      <c r="E18" s="2" t="s">
        <v>1223</v>
      </c>
      <c r="F18" s="62"/>
      <c r="G18" s="26" t="s">
        <v>341</v>
      </c>
    </row>
    <row r="19" spans="2:8" outlineLevel="1" x14ac:dyDescent="0.35">
      <c r="B19" s="2"/>
      <c r="C19" s="2"/>
      <c r="D19" s="2" t="s">
        <v>317</v>
      </c>
      <c r="E19" s="2" t="s">
        <v>3006</v>
      </c>
      <c r="F19" s="62"/>
      <c r="G19" s="26" t="s">
        <v>341</v>
      </c>
    </row>
    <row r="20" spans="2:8" ht="29" outlineLevel="1" x14ac:dyDescent="0.35">
      <c r="B20" s="2"/>
      <c r="C20" s="2"/>
      <c r="D20" s="2" t="s">
        <v>860</v>
      </c>
      <c r="E20" s="2" t="s">
        <v>3965</v>
      </c>
      <c r="F20" s="62"/>
      <c r="G20" s="26" t="s">
        <v>341</v>
      </c>
    </row>
    <row r="21" spans="2:8" ht="29" outlineLevel="1" x14ac:dyDescent="0.35">
      <c r="B21" s="2"/>
      <c r="C21" s="2"/>
      <c r="D21" s="2" t="s">
        <v>2830</v>
      </c>
      <c r="E21" s="2" t="s">
        <v>3702</v>
      </c>
      <c r="F21" s="62"/>
      <c r="G21" s="26" t="s">
        <v>341</v>
      </c>
    </row>
    <row r="22" spans="2:8" ht="29" outlineLevel="1" x14ac:dyDescent="0.35">
      <c r="B22" s="2"/>
      <c r="C22" s="2"/>
      <c r="D22" s="2" t="s">
        <v>2829</v>
      </c>
      <c r="E22" s="2" t="s">
        <v>965</v>
      </c>
      <c r="F22" s="62"/>
      <c r="G22" s="26" t="s">
        <v>341</v>
      </c>
    </row>
    <row r="23" spans="2:8" ht="43.5" outlineLevel="1" x14ac:dyDescent="0.35">
      <c r="B23" s="2"/>
      <c r="C23" s="2"/>
      <c r="D23" s="2" t="s">
        <v>307</v>
      </c>
      <c r="E23" s="2" t="s">
        <v>1224</v>
      </c>
      <c r="F23" s="62"/>
      <c r="G23" s="26" t="s">
        <v>341</v>
      </c>
    </row>
    <row r="24" spans="2:8" ht="29" outlineLevel="1" x14ac:dyDescent="0.35">
      <c r="B24" s="2"/>
      <c r="C24" s="2"/>
      <c r="D24" s="2" t="s">
        <v>1220</v>
      </c>
      <c r="E24" s="2" t="s">
        <v>1227</v>
      </c>
      <c r="F24" s="62"/>
      <c r="G24" s="26" t="s">
        <v>341</v>
      </c>
    </row>
    <row r="25" spans="2:8" ht="29" x14ac:dyDescent="0.35">
      <c r="B25" s="2"/>
      <c r="C25" s="77" t="s">
        <v>310</v>
      </c>
      <c r="D25" s="134"/>
      <c r="E25" s="2"/>
      <c r="F25" s="62"/>
      <c r="G25" s="23">
        <f>COUNTIF(G26:G30,"Yes")</f>
        <v>5</v>
      </c>
      <c r="H25" s="74"/>
    </row>
    <row r="26" spans="2:8" ht="29" outlineLevel="1" x14ac:dyDescent="0.35">
      <c r="B26" s="2"/>
      <c r="C26" s="77"/>
      <c r="D26" s="2" t="s">
        <v>318</v>
      </c>
      <c r="E26" s="2" t="s">
        <v>658</v>
      </c>
      <c r="F26" s="62"/>
      <c r="G26" s="26" t="s">
        <v>341</v>
      </c>
    </row>
    <row r="27" spans="2:8" outlineLevel="1" x14ac:dyDescent="0.35">
      <c r="B27" s="2"/>
      <c r="C27" s="77"/>
      <c r="D27" s="2" t="s">
        <v>319</v>
      </c>
      <c r="E27" s="2" t="s">
        <v>1899</v>
      </c>
      <c r="F27" s="62"/>
      <c r="G27" s="26" t="s">
        <v>341</v>
      </c>
    </row>
    <row r="28" spans="2:8" ht="29" outlineLevel="1" x14ac:dyDescent="0.35">
      <c r="B28" s="2"/>
      <c r="C28" s="77"/>
      <c r="D28" s="2" t="s">
        <v>1563</v>
      </c>
      <c r="E28" s="2" t="s">
        <v>294</v>
      </c>
      <c r="F28" s="62"/>
      <c r="G28" s="26" t="s">
        <v>341</v>
      </c>
    </row>
    <row r="29" spans="2:8" ht="29" outlineLevel="1" x14ac:dyDescent="0.35">
      <c r="B29" s="2"/>
      <c r="C29" s="77"/>
      <c r="D29" s="2" t="s">
        <v>320</v>
      </c>
      <c r="E29" s="2" t="s">
        <v>735</v>
      </c>
      <c r="F29" s="62"/>
      <c r="G29" s="26" t="s">
        <v>341</v>
      </c>
    </row>
    <row r="30" spans="2:8" ht="43.5" outlineLevel="1" x14ac:dyDescent="0.35">
      <c r="B30" s="2"/>
      <c r="C30" s="77"/>
      <c r="D30" s="2" t="s">
        <v>321</v>
      </c>
      <c r="E30" s="2" t="s">
        <v>1225</v>
      </c>
      <c r="F30" s="62"/>
      <c r="G30" s="26" t="s">
        <v>341</v>
      </c>
    </row>
    <row r="31" spans="2:8" ht="29" x14ac:dyDescent="0.35">
      <c r="B31" s="2"/>
      <c r="C31" s="77" t="s">
        <v>311</v>
      </c>
      <c r="D31" s="2"/>
      <c r="E31" s="2"/>
      <c r="F31" s="62"/>
      <c r="G31" s="23">
        <f>COUNTIF(G32:G36,"Yes")</f>
        <v>5</v>
      </c>
      <c r="H31" s="74"/>
    </row>
    <row r="32" spans="2:8" outlineLevel="1" x14ac:dyDescent="0.35">
      <c r="B32" s="2"/>
      <c r="C32" s="77"/>
      <c r="D32" s="2" t="s">
        <v>322</v>
      </c>
      <c r="E32" s="2" t="s">
        <v>659</v>
      </c>
      <c r="F32" s="62"/>
      <c r="G32" s="26" t="s">
        <v>341</v>
      </c>
    </row>
    <row r="33" spans="2:8" outlineLevel="1" x14ac:dyDescent="0.35">
      <c r="B33" s="2"/>
      <c r="C33" s="77"/>
      <c r="D33" s="2" t="s">
        <v>323</v>
      </c>
      <c r="E33" s="2" t="s">
        <v>324</v>
      </c>
      <c r="F33" s="62"/>
      <c r="G33" s="26" t="s">
        <v>341</v>
      </c>
    </row>
    <row r="34" spans="2:8" ht="29" outlineLevel="1" x14ac:dyDescent="0.35">
      <c r="B34" s="2"/>
      <c r="C34" s="77"/>
      <c r="D34" s="2" t="s">
        <v>325</v>
      </c>
      <c r="E34" s="2" t="s">
        <v>660</v>
      </c>
      <c r="F34" s="62"/>
      <c r="G34" s="26" t="s">
        <v>341</v>
      </c>
    </row>
    <row r="35" spans="2:8" outlineLevel="1" x14ac:dyDescent="0.35">
      <c r="B35" s="2"/>
      <c r="C35" s="77"/>
      <c r="D35" s="2" t="s">
        <v>326</v>
      </c>
      <c r="E35" s="2" t="s">
        <v>1222</v>
      </c>
      <c r="F35" s="62"/>
      <c r="G35" s="26" t="s">
        <v>341</v>
      </c>
    </row>
    <row r="36" spans="2:8" ht="29" outlineLevel="1" x14ac:dyDescent="0.35">
      <c r="B36" s="2"/>
      <c r="C36" s="77"/>
      <c r="D36" s="2" t="s">
        <v>327</v>
      </c>
      <c r="E36" s="2" t="s">
        <v>1226</v>
      </c>
      <c r="F36" s="62"/>
      <c r="G36" s="26" t="s">
        <v>341</v>
      </c>
    </row>
    <row r="37" spans="2:8" ht="29" x14ac:dyDescent="0.35">
      <c r="B37" s="2"/>
      <c r="C37" s="77" t="s">
        <v>2905</v>
      </c>
      <c r="D37" s="1"/>
      <c r="E37" s="2"/>
      <c r="F37" s="62"/>
      <c r="G37" s="23">
        <f>COUNTIF(G38:G42,"Yes")</f>
        <v>5</v>
      </c>
      <c r="H37" s="74"/>
    </row>
    <row r="38" spans="2:8" ht="29" outlineLevel="1" x14ac:dyDescent="0.35">
      <c r="B38" s="2"/>
      <c r="C38" s="77"/>
      <c r="D38" s="2" t="s">
        <v>328</v>
      </c>
      <c r="E38" s="2" t="s">
        <v>610</v>
      </c>
      <c r="F38" s="62"/>
      <c r="G38" s="26" t="s">
        <v>341</v>
      </c>
    </row>
    <row r="39" spans="2:8" ht="43.5" outlineLevel="1" x14ac:dyDescent="0.35">
      <c r="B39" s="2"/>
      <c r="C39" s="77"/>
      <c r="D39" s="2" t="s">
        <v>2850</v>
      </c>
      <c r="E39" s="2" t="s">
        <v>329</v>
      </c>
      <c r="F39" s="62"/>
      <c r="G39" s="26" t="s">
        <v>341</v>
      </c>
    </row>
    <row r="40" spans="2:8" ht="29" outlineLevel="1" x14ac:dyDescent="0.35">
      <c r="B40" s="2"/>
      <c r="C40" s="77"/>
      <c r="D40" s="2" t="s">
        <v>330</v>
      </c>
      <c r="E40" s="2" t="s">
        <v>736</v>
      </c>
      <c r="F40" s="62"/>
      <c r="G40" s="26" t="s">
        <v>341</v>
      </c>
    </row>
    <row r="41" spans="2:8" ht="58" outlineLevel="1" x14ac:dyDescent="0.35">
      <c r="B41" s="2"/>
      <c r="C41" s="77"/>
      <c r="D41" s="2" t="s">
        <v>5225</v>
      </c>
      <c r="E41" s="2" t="s">
        <v>5226</v>
      </c>
      <c r="F41" s="62"/>
      <c r="G41" s="26" t="s">
        <v>341</v>
      </c>
    </row>
    <row r="42" spans="2:8" ht="29" outlineLevel="1" x14ac:dyDescent="0.35">
      <c r="B42" s="2"/>
      <c r="C42" s="77"/>
      <c r="D42" s="2" t="s">
        <v>331</v>
      </c>
      <c r="E42" s="2" t="s">
        <v>332</v>
      </c>
      <c r="F42" s="62"/>
      <c r="G42" s="26" t="s">
        <v>341</v>
      </c>
    </row>
    <row r="43" spans="2:8" x14ac:dyDescent="0.35">
      <c r="B43" s="2"/>
      <c r="C43" s="77" t="s">
        <v>3394</v>
      </c>
      <c r="D43" s="1"/>
      <c r="E43" s="2"/>
      <c r="F43" s="62"/>
      <c r="G43" s="23">
        <f>COUNTIF(G44:G48,"Yes")</f>
        <v>5</v>
      </c>
      <c r="H43" s="74"/>
    </row>
    <row r="44" spans="2:8" ht="72.5" outlineLevel="1" x14ac:dyDescent="0.35">
      <c r="B44" s="2"/>
      <c r="C44" s="77"/>
      <c r="D44" s="2" t="s">
        <v>3395</v>
      </c>
      <c r="E44" s="2" t="s">
        <v>3903</v>
      </c>
      <c r="F44" s="62"/>
      <c r="G44" s="26" t="s">
        <v>341</v>
      </c>
    </row>
    <row r="45" spans="2:8" ht="72.5" outlineLevel="1" x14ac:dyDescent="0.35">
      <c r="B45" s="2"/>
      <c r="C45" s="77"/>
      <c r="D45" s="2" t="s">
        <v>3396</v>
      </c>
      <c r="E45" s="2" t="s">
        <v>3690</v>
      </c>
      <c r="F45" s="62"/>
      <c r="G45" s="26" t="s">
        <v>341</v>
      </c>
    </row>
    <row r="46" spans="2:8" ht="72.5" outlineLevel="1" x14ac:dyDescent="0.35">
      <c r="B46" s="2"/>
      <c r="C46" s="77"/>
      <c r="D46" s="2" t="s">
        <v>4639</v>
      </c>
      <c r="E46" s="2" t="s">
        <v>4932</v>
      </c>
      <c r="F46" s="62"/>
      <c r="G46" s="26" t="s">
        <v>341</v>
      </c>
    </row>
    <row r="47" spans="2:8" ht="29" outlineLevel="1" x14ac:dyDescent="0.35">
      <c r="B47" s="2"/>
      <c r="C47" s="77"/>
      <c r="D47" s="2" t="s">
        <v>5131</v>
      </c>
      <c r="E47" s="2" t="s">
        <v>5130</v>
      </c>
      <c r="F47" s="62"/>
      <c r="G47" s="26" t="s">
        <v>341</v>
      </c>
    </row>
    <row r="48" spans="2:8" ht="58" outlineLevel="1" x14ac:dyDescent="0.35">
      <c r="B48" s="2"/>
      <c r="C48" s="77"/>
      <c r="D48" s="2" t="s">
        <v>5132</v>
      </c>
      <c r="E48" s="2" t="s">
        <v>5133</v>
      </c>
      <c r="F48" s="62"/>
      <c r="G48" s="26" t="s">
        <v>341</v>
      </c>
    </row>
    <row r="49" spans="7:7" x14ac:dyDescent="0.35">
      <c r="G49" s="133"/>
    </row>
    <row r="50" spans="7:7" x14ac:dyDescent="0.35">
      <c r="G50" s="133"/>
    </row>
    <row r="51" spans="7:7" x14ac:dyDescent="0.35">
      <c r="G51" s="133"/>
    </row>
    <row r="52" spans="7:7" x14ac:dyDescent="0.35">
      <c r="G52" s="133"/>
    </row>
    <row r="53" spans="7:7" x14ac:dyDescent="0.35">
      <c r="G53" s="133"/>
    </row>
    <row r="54" spans="7:7" x14ac:dyDescent="0.35">
      <c r="G54" s="133"/>
    </row>
    <row r="55" spans="7:7" x14ac:dyDescent="0.35">
      <c r="G55" s="133"/>
    </row>
    <row r="56" spans="7:7" x14ac:dyDescent="0.35">
      <c r="G56" s="133"/>
    </row>
    <row r="57" spans="7:7" x14ac:dyDescent="0.35">
      <c r="G57" s="133"/>
    </row>
    <row r="58" spans="7:7" x14ac:dyDescent="0.35">
      <c r="G58" s="133"/>
    </row>
    <row r="59" spans="7:7" x14ac:dyDescent="0.35">
      <c r="G59" s="133"/>
    </row>
    <row r="60" spans="7:7" x14ac:dyDescent="0.35">
      <c r="G60" s="133"/>
    </row>
    <row r="61" spans="7:7" x14ac:dyDescent="0.35">
      <c r="G61" s="133"/>
    </row>
    <row r="62" spans="7:7" x14ac:dyDescent="0.35">
      <c r="G62" s="133"/>
    </row>
    <row r="63" spans="7:7" x14ac:dyDescent="0.35">
      <c r="G63" s="133"/>
    </row>
    <row r="64" spans="7:7" x14ac:dyDescent="0.35">
      <c r="G64" s="133"/>
    </row>
    <row r="65" spans="7:7" x14ac:dyDescent="0.35">
      <c r="G65" s="133"/>
    </row>
    <row r="66" spans="7:7" x14ac:dyDescent="0.35">
      <c r="G66" s="133"/>
    </row>
    <row r="67" spans="7:7" x14ac:dyDescent="0.35">
      <c r="G67" s="133"/>
    </row>
    <row r="68" spans="7:7" x14ac:dyDescent="0.35">
      <c r="G68" s="133"/>
    </row>
    <row r="69" spans="7:7" x14ac:dyDescent="0.35">
      <c r="G69" s="133"/>
    </row>
    <row r="70" spans="7:7" x14ac:dyDescent="0.35">
      <c r="G70" s="133"/>
    </row>
    <row r="71" spans="7:7" x14ac:dyDescent="0.35">
      <c r="G71" s="133"/>
    </row>
    <row r="72" spans="7:7" x14ac:dyDescent="0.35">
      <c r="G72" s="133"/>
    </row>
    <row r="73" spans="7:7" x14ac:dyDescent="0.35">
      <c r="G73" s="133"/>
    </row>
    <row r="74" spans="7:7" x14ac:dyDescent="0.35">
      <c r="G74" s="133"/>
    </row>
    <row r="75" spans="7:7" x14ac:dyDescent="0.35">
      <c r="G75" s="133"/>
    </row>
    <row r="76" spans="7:7" x14ac:dyDescent="0.35">
      <c r="G76" s="133"/>
    </row>
    <row r="77" spans="7:7" x14ac:dyDescent="0.35">
      <c r="G77" s="133"/>
    </row>
    <row r="78" spans="7:7" x14ac:dyDescent="0.35">
      <c r="G78" s="133"/>
    </row>
    <row r="79" spans="7:7" x14ac:dyDescent="0.35">
      <c r="G79" s="133"/>
    </row>
    <row r="80" spans="7:7" x14ac:dyDescent="0.35">
      <c r="G80" s="133"/>
    </row>
    <row r="81" spans="7:7" x14ac:dyDescent="0.35">
      <c r="G81" s="133"/>
    </row>
    <row r="82" spans="7:7" x14ac:dyDescent="0.35">
      <c r="G82" s="133"/>
    </row>
    <row r="83" spans="7:7" x14ac:dyDescent="0.35">
      <c r="G83" s="133"/>
    </row>
    <row r="84" spans="7:7" x14ac:dyDescent="0.35">
      <c r="G84" s="133"/>
    </row>
    <row r="85" spans="7:7" x14ac:dyDescent="0.35">
      <c r="G85" s="133"/>
    </row>
    <row r="86" spans="7:7" x14ac:dyDescent="0.35">
      <c r="G86" s="133"/>
    </row>
    <row r="87" spans="7:7" x14ac:dyDescent="0.35">
      <c r="G87" s="133"/>
    </row>
    <row r="88" spans="7:7" x14ac:dyDescent="0.35">
      <c r="G88" s="133"/>
    </row>
    <row r="89" spans="7:7" x14ac:dyDescent="0.35">
      <c r="G89" s="133"/>
    </row>
    <row r="90" spans="7:7" x14ac:dyDescent="0.35">
      <c r="G90" s="133"/>
    </row>
    <row r="91" spans="7:7" x14ac:dyDescent="0.35">
      <c r="G91" s="133"/>
    </row>
    <row r="92" spans="7:7" x14ac:dyDescent="0.35">
      <c r="G92" s="133"/>
    </row>
    <row r="93" spans="7:7" x14ac:dyDescent="0.35">
      <c r="G93" s="133"/>
    </row>
    <row r="94" spans="7:7" x14ac:dyDescent="0.35">
      <c r="G94" s="133"/>
    </row>
    <row r="95" spans="7:7" x14ac:dyDescent="0.35">
      <c r="G95" s="133"/>
    </row>
    <row r="96" spans="7:7" x14ac:dyDescent="0.35">
      <c r="G96" s="133"/>
    </row>
    <row r="97" spans="7:7" x14ac:dyDescent="0.35">
      <c r="G97" s="133"/>
    </row>
    <row r="98" spans="7:7" x14ac:dyDescent="0.35">
      <c r="G98" s="8"/>
    </row>
    <row r="99" spans="7:7" x14ac:dyDescent="0.35">
      <c r="G99" s="8"/>
    </row>
    <row r="100" spans="7:7" x14ac:dyDescent="0.35">
      <c r="G100" s="8"/>
    </row>
    <row r="101" spans="7:7" x14ac:dyDescent="0.35">
      <c r="G101" s="8"/>
    </row>
    <row r="102" spans="7:7" x14ac:dyDescent="0.35">
      <c r="G102" s="8"/>
    </row>
    <row r="103" spans="7:7" x14ac:dyDescent="0.35">
      <c r="G103" s="116"/>
    </row>
    <row r="104" spans="7:7" x14ac:dyDescent="0.35">
      <c r="G104" s="8"/>
    </row>
    <row r="105" spans="7:7" x14ac:dyDescent="0.35">
      <c r="G105" s="116"/>
    </row>
    <row r="106" spans="7:7" x14ac:dyDescent="0.35">
      <c r="G106" s="8"/>
    </row>
    <row r="107" spans="7:7" x14ac:dyDescent="0.35">
      <c r="G107" s="8"/>
    </row>
    <row r="108" spans="7:7" x14ac:dyDescent="0.35">
      <c r="G108" s="8"/>
    </row>
    <row r="109" spans="7:7" x14ac:dyDescent="0.35">
      <c r="G109" s="8"/>
    </row>
    <row r="110" spans="7:7" x14ac:dyDescent="0.35">
      <c r="G110" s="8"/>
    </row>
    <row r="111" spans="7:7" x14ac:dyDescent="0.35">
      <c r="G111" s="8"/>
    </row>
    <row r="112" spans="7:7" x14ac:dyDescent="0.35">
      <c r="G112" s="8"/>
    </row>
    <row r="113" spans="7:7" x14ac:dyDescent="0.35">
      <c r="G113" s="116"/>
    </row>
    <row r="114" spans="7:7" x14ac:dyDescent="0.35">
      <c r="G114" s="8"/>
    </row>
    <row r="115" spans="7:7" x14ac:dyDescent="0.35">
      <c r="G115" s="8"/>
    </row>
    <row r="116" spans="7:7" x14ac:dyDescent="0.35">
      <c r="G116" s="8"/>
    </row>
    <row r="117" spans="7:7" x14ac:dyDescent="0.35">
      <c r="G117" s="116"/>
    </row>
    <row r="118" spans="7:7" x14ac:dyDescent="0.35">
      <c r="G118" s="8"/>
    </row>
    <row r="119" spans="7:7" x14ac:dyDescent="0.35">
      <c r="G119" s="8"/>
    </row>
    <row r="120" spans="7:7" x14ac:dyDescent="0.35">
      <c r="G120" s="8"/>
    </row>
    <row r="121" spans="7:7" x14ac:dyDescent="0.35">
      <c r="G121" s="8"/>
    </row>
    <row r="122" spans="7:7" x14ac:dyDescent="0.35">
      <c r="G122" s="8"/>
    </row>
    <row r="123" spans="7:7" x14ac:dyDescent="0.35">
      <c r="G123" s="115"/>
    </row>
    <row r="124" spans="7:7" x14ac:dyDescent="0.35">
      <c r="G124" s="116"/>
    </row>
    <row r="125" spans="7:7" x14ac:dyDescent="0.35">
      <c r="G125" s="8"/>
    </row>
    <row r="126" spans="7:7" x14ac:dyDescent="0.35">
      <c r="G126" s="116"/>
    </row>
    <row r="127" spans="7:7" x14ac:dyDescent="0.35">
      <c r="G127" s="8"/>
    </row>
    <row r="128" spans="7:7" x14ac:dyDescent="0.35">
      <c r="G128" s="8"/>
    </row>
    <row r="129" spans="7:7" x14ac:dyDescent="0.35">
      <c r="G129" s="116"/>
    </row>
    <row r="130" spans="7:7" x14ac:dyDescent="0.35">
      <c r="G130" s="8"/>
    </row>
    <row r="131" spans="7:7" x14ac:dyDescent="0.35">
      <c r="G131" s="8"/>
    </row>
    <row r="132" spans="7:7" x14ac:dyDescent="0.35">
      <c r="G132" s="90"/>
    </row>
    <row r="133" spans="7:7" x14ac:dyDescent="0.35">
      <c r="G133" s="90"/>
    </row>
    <row r="134" spans="7:7" x14ac:dyDescent="0.35">
      <c r="G134" s="90"/>
    </row>
    <row r="135" spans="7:7" x14ac:dyDescent="0.35">
      <c r="G135" s="90"/>
    </row>
    <row r="136" spans="7:7" x14ac:dyDescent="0.35">
      <c r="G136" s="90"/>
    </row>
    <row r="137" spans="7:7" x14ac:dyDescent="0.35">
      <c r="G137" s="90"/>
    </row>
    <row r="138" spans="7:7" x14ac:dyDescent="0.35">
      <c r="G138" s="90"/>
    </row>
    <row r="139" spans="7:7" x14ac:dyDescent="0.35">
      <c r="G139" s="90"/>
    </row>
  </sheetData>
  <sortState xmlns:xlrd2="http://schemas.microsoft.com/office/spreadsheetml/2017/richdata2" ref="B44:BK47">
    <sortCondition ref="D44"/>
  </sortState>
  <mergeCells count="3">
    <mergeCell ref="B6:D6"/>
    <mergeCell ref="B2:B4"/>
    <mergeCell ref="G3:G4"/>
  </mergeCells>
  <dataValidations count="1">
    <dataValidation type="list" allowBlank="1" showInputMessage="1" showErrorMessage="1" sqref="G98:G102 G104 G106:G112 G114:G116 G130:G131 G118:G122 G125 G127:G128 G10:G15 G17:G24 G44:G48 G26:G30 G32:G36 G38:G42" xr:uid="{00000000-0002-0000-0B00-000000000000}">
      <formula1>"Yes, No"</formula1>
    </dataValidation>
  </dataValidations>
  <pageMargins left="0.7" right="0.7" top="0.75" bottom="0.75" header="0.3" footer="0.3"/>
  <pageSetup orientation="portrait" horizontalDpi="1200" verticalDpi="1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293276"/>
  </sheetPr>
  <dimension ref="B1:H133"/>
  <sheetViews>
    <sheetView showGridLines="0" zoomScale="80" zoomScaleNormal="80" workbookViewId="0">
      <selection activeCell="C2" sqref="C2"/>
    </sheetView>
  </sheetViews>
  <sheetFormatPr defaultColWidth="9.1796875" defaultRowHeight="14.5" outlineLevelRow="1" x14ac:dyDescent="0.35"/>
  <cols>
    <col min="1" max="1" width="2.1796875" style="79" customWidth="1"/>
    <col min="2" max="3" width="30.6328125" style="79" customWidth="1"/>
    <col min="4" max="4" width="50.6328125" style="96" customWidth="1"/>
    <col min="5" max="5" width="76.6328125" style="96" customWidth="1"/>
    <col min="6" max="6" width="2.1796875" style="79" customWidth="1"/>
    <col min="7" max="7" width="9.1796875" style="98"/>
    <col min="8" max="16384" width="9.1796875" style="79"/>
  </cols>
  <sheetData>
    <row r="1" spans="2:8" s="58" customFormat="1" ht="18.5" customHeight="1" x14ac:dyDescent="0.5">
      <c r="B1" s="61"/>
      <c r="C1" s="69"/>
      <c r="D1" s="69"/>
      <c r="E1" s="100"/>
      <c r="G1" s="9"/>
    </row>
    <row r="2" spans="2:8" s="58" customFormat="1" ht="14.5" customHeight="1" x14ac:dyDescent="0.35">
      <c r="B2" s="193"/>
      <c r="C2" s="151"/>
      <c r="D2" s="15" t="s">
        <v>41</v>
      </c>
      <c r="E2" s="15" t="s">
        <v>484</v>
      </c>
      <c r="G2" s="13" t="s">
        <v>342</v>
      </c>
    </row>
    <row r="3" spans="2:8" s="58" customFormat="1" ht="14.5" customHeight="1" x14ac:dyDescent="0.35">
      <c r="B3" s="193"/>
      <c r="C3" s="151"/>
      <c r="D3" s="11" t="s">
        <v>226</v>
      </c>
      <c r="E3" s="11">
        <f>COUNTIF(E8:E24,"*")</f>
        <v>9</v>
      </c>
      <c r="G3" s="185">
        <f>COUNTIF(G8:G24,"Yes")</f>
        <v>9</v>
      </c>
    </row>
    <row r="4" spans="2:8" s="58" customFormat="1" ht="14.5" customHeight="1" x14ac:dyDescent="0.35">
      <c r="B4" s="193"/>
      <c r="C4" s="151"/>
      <c r="D4" s="15" t="s">
        <v>79</v>
      </c>
      <c r="E4" s="15" t="str">
        <f>'(8) Financial Accounting'!E4</f>
        <v>R25 Model Bank</v>
      </c>
      <c r="G4" s="186"/>
    </row>
    <row r="5" spans="2:8" ht="18.5" customHeight="1" x14ac:dyDescent="0.35">
      <c r="E5" s="121"/>
      <c r="G5" s="9"/>
    </row>
    <row r="6" spans="2:8" x14ac:dyDescent="0.35">
      <c r="B6" s="197"/>
      <c r="C6" s="198"/>
      <c r="D6" s="198"/>
      <c r="E6" s="122"/>
      <c r="G6" s="18" t="s">
        <v>340</v>
      </c>
      <c r="H6" s="74"/>
    </row>
    <row r="7" spans="2:8" x14ac:dyDescent="0.35">
      <c r="B7" s="75" t="s">
        <v>83</v>
      </c>
      <c r="C7" s="75" t="s">
        <v>86</v>
      </c>
      <c r="D7" s="75" t="s">
        <v>87</v>
      </c>
      <c r="E7" s="75" t="s">
        <v>54</v>
      </c>
      <c r="G7" s="76" t="s">
        <v>342</v>
      </c>
    </row>
    <row r="8" spans="2:8" ht="29" x14ac:dyDescent="0.35">
      <c r="B8" s="77" t="s">
        <v>861</v>
      </c>
      <c r="C8" s="77"/>
      <c r="D8" s="2"/>
      <c r="E8" s="2"/>
      <c r="G8" s="88"/>
    </row>
    <row r="9" spans="2:8" ht="29" x14ac:dyDescent="0.35">
      <c r="B9" s="77"/>
      <c r="C9" s="77" t="s">
        <v>333</v>
      </c>
      <c r="D9" s="2"/>
      <c r="E9" s="2"/>
      <c r="G9" s="23">
        <f>COUNTIF(G10,"Yes")</f>
        <v>1</v>
      </c>
      <c r="H9" s="74"/>
    </row>
    <row r="10" spans="2:8" ht="29" outlineLevel="1" x14ac:dyDescent="0.35">
      <c r="B10" s="77"/>
      <c r="C10" s="77"/>
      <c r="D10" s="2" t="s">
        <v>334</v>
      </c>
      <c r="E10" s="2" t="s">
        <v>560</v>
      </c>
      <c r="F10" s="62"/>
      <c r="G10" s="26" t="s">
        <v>341</v>
      </c>
    </row>
    <row r="11" spans="2:8" ht="29" x14ac:dyDescent="0.35">
      <c r="B11" s="2"/>
      <c r="C11" s="77" t="s">
        <v>2906</v>
      </c>
      <c r="D11" s="1"/>
      <c r="E11" s="2"/>
      <c r="F11" s="62"/>
      <c r="G11" s="23">
        <f>COUNTIF(G12,"Yes")</f>
        <v>1</v>
      </c>
      <c r="H11" s="74"/>
    </row>
    <row r="12" spans="2:8" ht="29" outlineLevel="1" x14ac:dyDescent="0.35">
      <c r="B12" s="2"/>
      <c r="C12" s="77"/>
      <c r="D12" s="2" t="s">
        <v>862</v>
      </c>
      <c r="E12" s="2" t="s">
        <v>1228</v>
      </c>
      <c r="F12" s="62"/>
      <c r="G12" s="26" t="s">
        <v>341</v>
      </c>
    </row>
    <row r="13" spans="2:8" x14ac:dyDescent="0.35">
      <c r="B13" s="2"/>
      <c r="C13" s="77" t="s">
        <v>2908</v>
      </c>
      <c r="D13" s="1"/>
      <c r="E13" s="2"/>
      <c r="F13" s="62"/>
      <c r="G13" s="23">
        <f>COUNTIF(G14:G15,"Yes")</f>
        <v>2</v>
      </c>
    </row>
    <row r="14" spans="2:8" ht="43.5" outlineLevel="1" x14ac:dyDescent="0.35">
      <c r="B14" s="2"/>
      <c r="C14" s="77"/>
      <c r="D14" s="2" t="s">
        <v>3615</v>
      </c>
      <c r="E14" s="2" t="s">
        <v>1493</v>
      </c>
      <c r="F14" s="62"/>
      <c r="G14" s="26" t="s">
        <v>341</v>
      </c>
    </row>
    <row r="15" spans="2:8" outlineLevel="1" x14ac:dyDescent="0.35">
      <c r="B15" s="2"/>
      <c r="C15" s="77"/>
      <c r="D15" s="2" t="s">
        <v>335</v>
      </c>
      <c r="E15" s="2" t="s">
        <v>661</v>
      </c>
      <c r="F15" s="62"/>
      <c r="G15" s="26" t="s">
        <v>341</v>
      </c>
    </row>
    <row r="16" spans="2:8" ht="29" x14ac:dyDescent="0.35">
      <c r="B16" s="2"/>
      <c r="C16" s="77" t="s">
        <v>336</v>
      </c>
      <c r="D16" s="1"/>
      <c r="E16" s="2"/>
      <c r="F16" s="62"/>
      <c r="G16" s="23">
        <f>COUNTIF(G17,"Yes")</f>
        <v>1</v>
      </c>
      <c r="H16" s="74"/>
    </row>
    <row r="17" spans="2:8" ht="29" outlineLevel="1" x14ac:dyDescent="0.35">
      <c r="B17" s="2"/>
      <c r="C17" s="77"/>
      <c r="D17" s="2" t="s">
        <v>337</v>
      </c>
      <c r="E17" s="2" t="s">
        <v>1229</v>
      </c>
      <c r="F17" s="62"/>
      <c r="G17" s="26" t="s">
        <v>341</v>
      </c>
    </row>
    <row r="18" spans="2:8" ht="29" x14ac:dyDescent="0.35">
      <c r="B18" s="2"/>
      <c r="C18" s="77" t="s">
        <v>2907</v>
      </c>
      <c r="D18" s="1"/>
      <c r="E18" s="2"/>
      <c r="F18" s="62"/>
      <c r="G18" s="23">
        <f>COUNTIF(G19:G20,"Yes")</f>
        <v>2</v>
      </c>
      <c r="H18" s="74"/>
    </row>
    <row r="19" spans="2:8" ht="43.5" outlineLevel="1" x14ac:dyDescent="0.35">
      <c r="B19" s="2" t="s">
        <v>239</v>
      </c>
      <c r="C19" s="77"/>
      <c r="D19" s="2" t="s">
        <v>338</v>
      </c>
      <c r="E19" s="2" t="s">
        <v>1230</v>
      </c>
      <c r="F19" s="62"/>
      <c r="G19" s="26" t="s">
        <v>341</v>
      </c>
    </row>
    <row r="20" spans="2:8" ht="43.5" outlineLevel="1" x14ac:dyDescent="0.35">
      <c r="B20" s="2"/>
      <c r="C20" s="77"/>
      <c r="D20" s="2" t="s">
        <v>339</v>
      </c>
      <c r="E20" s="2" t="s">
        <v>3031</v>
      </c>
      <c r="F20" s="62"/>
      <c r="G20" s="26" t="s">
        <v>341</v>
      </c>
    </row>
    <row r="21" spans="2:8" ht="29" x14ac:dyDescent="0.35">
      <c r="B21" s="2"/>
      <c r="C21" s="77" t="s">
        <v>2384</v>
      </c>
      <c r="D21" s="2"/>
      <c r="E21" s="2"/>
      <c r="G21" s="23">
        <f>COUNTIF(G22:G22,"Yes")</f>
        <v>1</v>
      </c>
    </row>
    <row r="22" spans="2:8" ht="87" outlineLevel="1" x14ac:dyDescent="0.35">
      <c r="B22" s="2"/>
      <c r="C22" s="2"/>
      <c r="D22" s="2" t="s">
        <v>2385</v>
      </c>
      <c r="E22" s="2" t="s">
        <v>2386</v>
      </c>
      <c r="G22" s="26" t="s">
        <v>341</v>
      </c>
    </row>
    <row r="23" spans="2:8" x14ac:dyDescent="0.35">
      <c r="B23" s="2"/>
      <c r="C23" s="77" t="s">
        <v>5663</v>
      </c>
      <c r="D23" s="2"/>
      <c r="E23" s="2"/>
      <c r="G23" s="23">
        <f>COUNTIF(G24:G24,"Yes")</f>
        <v>1</v>
      </c>
    </row>
    <row r="24" spans="2:8" ht="43.5" outlineLevel="1" x14ac:dyDescent="0.35">
      <c r="B24" s="2"/>
      <c r="C24" s="2"/>
      <c r="D24" s="2" t="s">
        <v>5664</v>
      </c>
      <c r="E24" s="2" t="s">
        <v>5665</v>
      </c>
      <c r="G24" s="26" t="s">
        <v>341</v>
      </c>
    </row>
    <row r="25" spans="2:8" x14ac:dyDescent="0.35">
      <c r="G25" s="8"/>
    </row>
    <row r="26" spans="2:8" x14ac:dyDescent="0.35">
      <c r="G26" s="8"/>
    </row>
    <row r="27" spans="2:8" x14ac:dyDescent="0.35">
      <c r="G27" s="115"/>
    </row>
    <row r="28" spans="2:8" x14ac:dyDescent="0.35">
      <c r="G28" s="8"/>
    </row>
    <row r="29" spans="2:8" x14ac:dyDescent="0.35">
      <c r="G29" s="8"/>
    </row>
    <row r="30" spans="2:8" x14ac:dyDescent="0.35">
      <c r="G30" s="8"/>
    </row>
    <row r="31" spans="2:8" x14ac:dyDescent="0.35">
      <c r="G31" s="8"/>
    </row>
    <row r="32" spans="2:8" x14ac:dyDescent="0.35">
      <c r="G32" s="135"/>
    </row>
    <row r="33" spans="7:7" x14ac:dyDescent="0.35">
      <c r="G33" s="135"/>
    </row>
    <row r="34" spans="7:7" x14ac:dyDescent="0.35">
      <c r="G34" s="135"/>
    </row>
    <row r="35" spans="7:7" x14ac:dyDescent="0.35">
      <c r="G35" s="135"/>
    </row>
    <row r="36" spans="7:7" x14ac:dyDescent="0.35">
      <c r="G36" s="135"/>
    </row>
    <row r="37" spans="7:7" x14ac:dyDescent="0.35">
      <c r="G37" s="135"/>
    </row>
    <row r="38" spans="7:7" x14ac:dyDescent="0.35">
      <c r="G38" s="135"/>
    </row>
    <row r="39" spans="7:7" x14ac:dyDescent="0.35">
      <c r="G39" s="133"/>
    </row>
    <row r="40" spans="7:7" x14ac:dyDescent="0.35">
      <c r="G40" s="133"/>
    </row>
    <row r="41" spans="7:7" x14ac:dyDescent="0.35">
      <c r="G41" s="133"/>
    </row>
    <row r="42" spans="7:7" x14ac:dyDescent="0.35">
      <c r="G42" s="133"/>
    </row>
    <row r="43" spans="7:7" x14ac:dyDescent="0.35">
      <c r="G43" s="133"/>
    </row>
    <row r="44" spans="7:7" x14ac:dyDescent="0.35">
      <c r="G44" s="133"/>
    </row>
    <row r="45" spans="7:7" x14ac:dyDescent="0.35">
      <c r="G45" s="133"/>
    </row>
    <row r="46" spans="7:7" x14ac:dyDescent="0.35">
      <c r="G46" s="133"/>
    </row>
    <row r="47" spans="7:7" x14ac:dyDescent="0.35">
      <c r="G47" s="133"/>
    </row>
    <row r="48" spans="7:7" x14ac:dyDescent="0.35">
      <c r="G48" s="133"/>
    </row>
    <row r="49" spans="7:7" x14ac:dyDescent="0.35">
      <c r="G49" s="133"/>
    </row>
    <row r="50" spans="7:7" x14ac:dyDescent="0.35">
      <c r="G50" s="133"/>
    </row>
    <row r="51" spans="7:7" x14ac:dyDescent="0.35">
      <c r="G51" s="133"/>
    </row>
    <row r="52" spans="7:7" x14ac:dyDescent="0.35">
      <c r="G52" s="133"/>
    </row>
    <row r="53" spans="7:7" x14ac:dyDescent="0.35">
      <c r="G53" s="133"/>
    </row>
    <row r="54" spans="7:7" x14ac:dyDescent="0.35">
      <c r="G54" s="133"/>
    </row>
    <row r="55" spans="7:7" x14ac:dyDescent="0.35">
      <c r="G55" s="133"/>
    </row>
    <row r="56" spans="7:7" x14ac:dyDescent="0.35">
      <c r="G56" s="133"/>
    </row>
    <row r="57" spans="7:7" x14ac:dyDescent="0.35">
      <c r="G57" s="133"/>
    </row>
    <row r="58" spans="7:7" x14ac:dyDescent="0.35">
      <c r="G58" s="133"/>
    </row>
    <row r="59" spans="7:7" x14ac:dyDescent="0.35">
      <c r="G59" s="133"/>
    </row>
    <row r="60" spans="7:7" x14ac:dyDescent="0.35">
      <c r="G60" s="133"/>
    </row>
    <row r="61" spans="7:7" x14ac:dyDescent="0.35">
      <c r="G61" s="133"/>
    </row>
    <row r="62" spans="7:7" x14ac:dyDescent="0.35">
      <c r="G62" s="133"/>
    </row>
    <row r="63" spans="7:7" x14ac:dyDescent="0.35">
      <c r="G63" s="133"/>
    </row>
    <row r="64" spans="7:7" x14ac:dyDescent="0.35">
      <c r="G64" s="133"/>
    </row>
    <row r="65" spans="7:7" x14ac:dyDescent="0.35">
      <c r="G65" s="133"/>
    </row>
    <row r="66" spans="7:7" x14ac:dyDescent="0.35">
      <c r="G66" s="133"/>
    </row>
    <row r="67" spans="7:7" x14ac:dyDescent="0.35">
      <c r="G67" s="133"/>
    </row>
    <row r="68" spans="7:7" x14ac:dyDescent="0.35">
      <c r="G68" s="133"/>
    </row>
    <row r="69" spans="7:7" x14ac:dyDescent="0.35">
      <c r="G69" s="133"/>
    </row>
    <row r="70" spans="7:7" x14ac:dyDescent="0.35">
      <c r="G70" s="133"/>
    </row>
    <row r="71" spans="7:7" x14ac:dyDescent="0.35">
      <c r="G71" s="133"/>
    </row>
    <row r="72" spans="7:7" x14ac:dyDescent="0.35">
      <c r="G72" s="133"/>
    </row>
    <row r="73" spans="7:7" x14ac:dyDescent="0.35">
      <c r="G73" s="133"/>
    </row>
    <row r="74" spans="7:7" x14ac:dyDescent="0.35">
      <c r="G74" s="133"/>
    </row>
    <row r="75" spans="7:7" x14ac:dyDescent="0.35">
      <c r="G75" s="133"/>
    </row>
    <row r="76" spans="7:7" x14ac:dyDescent="0.35">
      <c r="G76" s="133"/>
    </row>
    <row r="77" spans="7:7" x14ac:dyDescent="0.35">
      <c r="G77" s="133"/>
    </row>
    <row r="78" spans="7:7" x14ac:dyDescent="0.35">
      <c r="G78" s="133"/>
    </row>
    <row r="79" spans="7:7" x14ac:dyDescent="0.35">
      <c r="G79" s="133"/>
    </row>
    <row r="80" spans="7:7" x14ac:dyDescent="0.35">
      <c r="G80" s="133"/>
    </row>
    <row r="81" spans="7:7" x14ac:dyDescent="0.35">
      <c r="G81" s="133"/>
    </row>
    <row r="82" spans="7:7" x14ac:dyDescent="0.35">
      <c r="G82" s="133"/>
    </row>
    <row r="83" spans="7:7" x14ac:dyDescent="0.35">
      <c r="G83" s="133"/>
    </row>
    <row r="84" spans="7:7" x14ac:dyDescent="0.35">
      <c r="G84" s="133"/>
    </row>
    <row r="85" spans="7:7" x14ac:dyDescent="0.35">
      <c r="G85" s="133"/>
    </row>
    <row r="86" spans="7:7" x14ac:dyDescent="0.35">
      <c r="G86" s="133"/>
    </row>
    <row r="87" spans="7:7" x14ac:dyDescent="0.35">
      <c r="G87" s="133"/>
    </row>
    <row r="88" spans="7:7" x14ac:dyDescent="0.35">
      <c r="G88" s="133"/>
    </row>
    <row r="89" spans="7:7" x14ac:dyDescent="0.35">
      <c r="G89" s="133"/>
    </row>
    <row r="90" spans="7:7" x14ac:dyDescent="0.35">
      <c r="G90" s="133"/>
    </row>
    <row r="91" spans="7:7" x14ac:dyDescent="0.35">
      <c r="G91" s="133"/>
    </row>
    <row r="92" spans="7:7" x14ac:dyDescent="0.35">
      <c r="G92" s="8"/>
    </row>
    <row r="93" spans="7:7" x14ac:dyDescent="0.35">
      <c r="G93" s="8"/>
    </row>
    <row r="94" spans="7:7" x14ac:dyDescent="0.35">
      <c r="G94" s="8"/>
    </row>
    <row r="95" spans="7:7" x14ac:dyDescent="0.35">
      <c r="G95" s="8"/>
    </row>
    <row r="96" spans="7:7" x14ac:dyDescent="0.35">
      <c r="G96" s="8"/>
    </row>
    <row r="97" spans="7:7" x14ac:dyDescent="0.35">
      <c r="G97" s="116"/>
    </row>
    <row r="98" spans="7:7" x14ac:dyDescent="0.35">
      <c r="G98" s="8"/>
    </row>
    <row r="99" spans="7:7" x14ac:dyDescent="0.35">
      <c r="G99" s="116"/>
    </row>
    <row r="100" spans="7:7" x14ac:dyDescent="0.35">
      <c r="G100" s="8"/>
    </row>
    <row r="101" spans="7:7" x14ac:dyDescent="0.35">
      <c r="G101" s="8"/>
    </row>
    <row r="102" spans="7:7" x14ac:dyDescent="0.35">
      <c r="G102" s="8"/>
    </row>
    <row r="103" spans="7:7" x14ac:dyDescent="0.35">
      <c r="G103" s="8"/>
    </row>
    <row r="104" spans="7:7" x14ac:dyDescent="0.35">
      <c r="G104" s="8"/>
    </row>
    <row r="105" spans="7:7" x14ac:dyDescent="0.35">
      <c r="G105" s="8"/>
    </row>
    <row r="106" spans="7:7" x14ac:dyDescent="0.35">
      <c r="G106" s="8"/>
    </row>
    <row r="107" spans="7:7" x14ac:dyDescent="0.35">
      <c r="G107" s="116"/>
    </row>
    <row r="108" spans="7:7" x14ac:dyDescent="0.35">
      <c r="G108" s="8"/>
    </row>
    <row r="109" spans="7:7" x14ac:dyDescent="0.35">
      <c r="G109" s="8"/>
    </row>
    <row r="110" spans="7:7" x14ac:dyDescent="0.35">
      <c r="G110" s="8"/>
    </row>
    <row r="111" spans="7:7" x14ac:dyDescent="0.35">
      <c r="G111" s="116"/>
    </row>
    <row r="112" spans="7:7" x14ac:dyDescent="0.35">
      <c r="G112" s="8"/>
    </row>
    <row r="113" spans="7:7" x14ac:dyDescent="0.35">
      <c r="G113" s="8"/>
    </row>
    <row r="114" spans="7:7" x14ac:dyDescent="0.35">
      <c r="G114" s="8"/>
    </row>
    <row r="115" spans="7:7" x14ac:dyDescent="0.35">
      <c r="G115" s="8"/>
    </row>
    <row r="116" spans="7:7" x14ac:dyDescent="0.35">
      <c r="G116" s="8"/>
    </row>
    <row r="117" spans="7:7" x14ac:dyDescent="0.35">
      <c r="G117" s="115"/>
    </row>
    <row r="118" spans="7:7" x14ac:dyDescent="0.35">
      <c r="G118" s="116"/>
    </row>
    <row r="119" spans="7:7" x14ac:dyDescent="0.35">
      <c r="G119" s="8"/>
    </row>
    <row r="120" spans="7:7" x14ac:dyDescent="0.35">
      <c r="G120" s="116"/>
    </row>
    <row r="121" spans="7:7" x14ac:dyDescent="0.35">
      <c r="G121" s="8"/>
    </row>
    <row r="122" spans="7:7" x14ac:dyDescent="0.35">
      <c r="G122" s="8"/>
    </row>
    <row r="123" spans="7:7" x14ac:dyDescent="0.35">
      <c r="G123" s="116"/>
    </row>
    <row r="124" spans="7:7" x14ac:dyDescent="0.35">
      <c r="G124" s="8"/>
    </row>
    <row r="125" spans="7:7" x14ac:dyDescent="0.35">
      <c r="G125" s="8"/>
    </row>
    <row r="126" spans="7:7" x14ac:dyDescent="0.35">
      <c r="G126" s="90"/>
    </row>
    <row r="127" spans="7:7" x14ac:dyDescent="0.35">
      <c r="G127" s="90"/>
    </row>
    <row r="128" spans="7:7" x14ac:dyDescent="0.35">
      <c r="G128" s="90"/>
    </row>
    <row r="129" spans="7:7" x14ac:dyDescent="0.35">
      <c r="G129" s="90"/>
    </row>
    <row r="130" spans="7:7" x14ac:dyDescent="0.35">
      <c r="G130" s="90"/>
    </row>
    <row r="131" spans="7:7" x14ac:dyDescent="0.35">
      <c r="G131" s="90"/>
    </row>
    <row r="132" spans="7:7" x14ac:dyDescent="0.35">
      <c r="G132" s="90"/>
    </row>
    <row r="133" spans="7:7" x14ac:dyDescent="0.35">
      <c r="G133" s="90"/>
    </row>
  </sheetData>
  <sortState xmlns:xlrd2="http://schemas.microsoft.com/office/spreadsheetml/2017/richdata2" ref="B19:BK20">
    <sortCondition ref="D19"/>
  </sortState>
  <mergeCells count="3">
    <mergeCell ref="B6:D6"/>
    <mergeCell ref="B2:B4"/>
    <mergeCell ref="G3:G4"/>
  </mergeCells>
  <dataValidations count="1">
    <dataValidation type="list" allowBlank="1" showInputMessage="1" showErrorMessage="1" sqref="G92:G96 G98 G100:G106 G108:G110 G124:G125 G112:G116 G119 G121:G122 G28:G31 G17 G10 G19:G20 G12 G14:G15 G22 G24:G26" xr:uid="{00000000-0002-0000-0C00-000000000000}">
      <formula1>"Yes, No"</formula1>
    </dataValidation>
  </dataValidations>
  <pageMargins left="0.7" right="0.7" top="0.75" bottom="0.75" header="0.3" footer="0.3"/>
  <pageSetup orientation="portrait" horizontalDpi="1200" verticalDpi="12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293276"/>
  </sheetPr>
  <dimension ref="B1:H230"/>
  <sheetViews>
    <sheetView showGridLines="0" zoomScale="80" zoomScaleNormal="80" workbookViewId="0">
      <selection activeCell="C2" sqref="C2"/>
    </sheetView>
  </sheetViews>
  <sheetFormatPr defaultColWidth="9.1796875" defaultRowHeight="14.5" outlineLevelRow="1" x14ac:dyDescent="0.35"/>
  <cols>
    <col min="1" max="1" width="2.1796875" style="79" customWidth="1"/>
    <col min="2" max="3" width="30.6328125" style="79" customWidth="1"/>
    <col min="4" max="4" width="50.6328125" style="96" customWidth="1"/>
    <col min="5" max="5" width="76.6328125" style="96" customWidth="1"/>
    <col min="6" max="6" width="2.1796875" style="79" customWidth="1"/>
    <col min="7" max="7" width="9.1796875" style="98"/>
    <col min="8" max="16384" width="9.1796875" style="79"/>
  </cols>
  <sheetData>
    <row r="1" spans="2:8" s="58" customFormat="1" ht="18.5" customHeight="1" x14ac:dyDescent="0.5">
      <c r="B1" s="61"/>
      <c r="C1" s="69"/>
      <c r="D1" s="69"/>
      <c r="E1" s="100"/>
      <c r="G1" s="9"/>
    </row>
    <row r="2" spans="2:8" s="58" customFormat="1" ht="14.5" customHeight="1" x14ac:dyDescent="0.35">
      <c r="B2" s="151"/>
      <c r="C2" s="151"/>
      <c r="D2" s="15" t="s">
        <v>41</v>
      </c>
      <c r="E2" s="15" t="s">
        <v>1078</v>
      </c>
      <c r="G2" s="13" t="s">
        <v>342</v>
      </c>
    </row>
    <row r="3" spans="2:8" s="58" customFormat="1" ht="14.5" customHeight="1" x14ac:dyDescent="0.35">
      <c r="B3" s="151"/>
      <c r="C3" s="151"/>
      <c r="D3" s="11" t="s">
        <v>226</v>
      </c>
      <c r="E3" s="11">
        <f>COUNTIF(E8:E172,"*")</f>
        <v>134</v>
      </c>
      <c r="G3" s="185">
        <f>COUNTIF(G9:G172,"Yes")</f>
        <v>134</v>
      </c>
    </row>
    <row r="4" spans="2:8" s="58" customFormat="1" ht="14.5" customHeight="1" x14ac:dyDescent="0.35">
      <c r="B4" s="151"/>
      <c r="C4" s="151"/>
      <c r="D4" s="15" t="s">
        <v>79</v>
      </c>
      <c r="E4" s="15" t="str">
        <f>'(9) Core Parameters'!E4</f>
        <v>R25 Model Bank</v>
      </c>
      <c r="G4" s="186"/>
    </row>
    <row r="5" spans="2:8" ht="18.5" customHeight="1" x14ac:dyDescent="0.35">
      <c r="E5" s="121"/>
      <c r="G5" s="9"/>
    </row>
    <row r="6" spans="2:8" x14ac:dyDescent="0.35">
      <c r="B6" s="197"/>
      <c r="C6" s="198"/>
      <c r="D6" s="198"/>
      <c r="E6" s="122"/>
      <c r="G6" s="18" t="s">
        <v>340</v>
      </c>
      <c r="H6" s="74"/>
    </row>
    <row r="7" spans="2:8" x14ac:dyDescent="0.35">
      <c r="B7" s="75" t="s">
        <v>83</v>
      </c>
      <c r="C7" s="75" t="s">
        <v>86</v>
      </c>
      <c r="D7" s="75" t="s">
        <v>87</v>
      </c>
      <c r="E7" s="75" t="s">
        <v>54</v>
      </c>
      <c r="G7" s="76" t="s">
        <v>342</v>
      </c>
    </row>
    <row r="8" spans="2:8" x14ac:dyDescent="0.35">
      <c r="B8" s="77" t="s">
        <v>1078</v>
      </c>
      <c r="C8" s="125"/>
      <c r="D8" s="125"/>
      <c r="E8" s="125"/>
      <c r="G8" s="125"/>
    </row>
    <row r="9" spans="2:8" x14ac:dyDescent="0.35">
      <c r="B9" s="77"/>
      <c r="C9" s="77" t="s">
        <v>1340</v>
      </c>
      <c r="D9" s="2"/>
      <c r="E9" s="2"/>
      <c r="G9" s="23">
        <f>COUNTIF(G10:G11,"Yes")</f>
        <v>2</v>
      </c>
    </row>
    <row r="10" spans="2:8" ht="58" outlineLevel="1" x14ac:dyDescent="0.35">
      <c r="B10" s="77"/>
      <c r="C10" s="77"/>
      <c r="D10" s="21" t="s">
        <v>2119</v>
      </c>
      <c r="E10" s="21" t="s">
        <v>1344</v>
      </c>
      <c r="G10" s="26" t="s">
        <v>341</v>
      </c>
    </row>
    <row r="11" spans="2:8" ht="72.5" outlineLevel="1" x14ac:dyDescent="0.35">
      <c r="B11" s="77"/>
      <c r="C11" s="77"/>
      <c r="D11" s="21" t="s">
        <v>2118</v>
      </c>
      <c r="E11" s="21" t="s">
        <v>3977</v>
      </c>
      <c r="G11" s="26" t="s">
        <v>341</v>
      </c>
    </row>
    <row r="12" spans="2:8" x14ac:dyDescent="0.35">
      <c r="B12" s="77"/>
      <c r="C12" s="77" t="s">
        <v>3618</v>
      </c>
      <c r="D12" s="2"/>
      <c r="E12" s="2"/>
      <c r="G12" s="23">
        <f>COUNTIF(G14:G23,"Yes")</f>
        <v>9</v>
      </c>
    </row>
    <row r="13" spans="2:8" x14ac:dyDescent="0.35">
      <c r="B13" s="2"/>
      <c r="C13" s="77"/>
      <c r="D13" s="75" t="s">
        <v>1695</v>
      </c>
      <c r="E13" s="2"/>
      <c r="F13" s="62"/>
      <c r="G13" s="88"/>
    </row>
    <row r="14" spans="2:8" ht="72.5" outlineLevel="1" x14ac:dyDescent="0.35">
      <c r="B14" s="77"/>
      <c r="C14" s="2"/>
      <c r="D14" s="21" t="s">
        <v>1568</v>
      </c>
      <c r="E14" s="21" t="s">
        <v>1569</v>
      </c>
      <c r="G14" s="26" t="s">
        <v>341</v>
      </c>
    </row>
    <row r="15" spans="2:8" ht="87" outlineLevel="1" x14ac:dyDescent="0.35">
      <c r="B15" s="77"/>
      <c r="C15" s="2"/>
      <c r="D15" s="21" t="s">
        <v>1345</v>
      </c>
      <c r="E15" s="21" t="s">
        <v>1367</v>
      </c>
      <c r="G15" s="26" t="s">
        <v>341</v>
      </c>
    </row>
    <row r="16" spans="2:8" ht="116" outlineLevel="1" x14ac:dyDescent="0.35">
      <c r="B16" s="77"/>
      <c r="C16" s="2"/>
      <c r="D16" s="21" t="s">
        <v>3616</v>
      </c>
      <c r="E16" s="21" t="s">
        <v>1721</v>
      </c>
      <c r="G16" s="26" t="s">
        <v>341</v>
      </c>
    </row>
    <row r="17" spans="2:8" x14ac:dyDescent="0.35">
      <c r="B17" s="2"/>
      <c r="C17" s="77"/>
      <c r="D17" s="75" t="s">
        <v>1696</v>
      </c>
      <c r="E17" s="2"/>
      <c r="F17" s="62"/>
      <c r="G17" s="88"/>
    </row>
    <row r="18" spans="2:8" ht="29" outlineLevel="1" x14ac:dyDescent="0.35">
      <c r="B18" s="77"/>
      <c r="C18" s="77"/>
      <c r="D18" s="21" t="s">
        <v>1570</v>
      </c>
      <c r="E18" s="21" t="s">
        <v>1571</v>
      </c>
      <c r="G18" s="26" t="s">
        <v>341</v>
      </c>
    </row>
    <row r="19" spans="2:8" ht="29" outlineLevel="1" x14ac:dyDescent="0.35">
      <c r="B19" s="77"/>
      <c r="C19" s="77"/>
      <c r="D19" s="21" t="s">
        <v>1573</v>
      </c>
      <c r="E19" s="21" t="s">
        <v>1572</v>
      </c>
      <c r="G19" s="26" t="s">
        <v>341</v>
      </c>
    </row>
    <row r="20" spans="2:8" ht="188.5" outlineLevel="1" x14ac:dyDescent="0.35">
      <c r="B20" s="77"/>
      <c r="C20" s="77"/>
      <c r="D20" s="21" t="s">
        <v>1346</v>
      </c>
      <c r="E20" s="21" t="s">
        <v>3707</v>
      </c>
      <c r="G20" s="26" t="s">
        <v>341</v>
      </c>
    </row>
    <row r="21" spans="2:8" ht="43.5" outlineLevel="1" x14ac:dyDescent="0.35">
      <c r="B21" s="77"/>
      <c r="C21" s="77"/>
      <c r="D21" s="21" t="s">
        <v>1347</v>
      </c>
      <c r="E21" s="21" t="s">
        <v>1500</v>
      </c>
      <c r="G21" s="26" t="s">
        <v>341</v>
      </c>
    </row>
    <row r="22" spans="2:8" outlineLevel="1" x14ac:dyDescent="0.35">
      <c r="B22" s="77"/>
      <c r="C22" s="77"/>
      <c r="D22" s="21" t="s">
        <v>1641</v>
      </c>
      <c r="E22" s="21" t="s">
        <v>1616</v>
      </c>
      <c r="G22" s="26" t="s">
        <v>341</v>
      </c>
    </row>
    <row r="23" spans="2:8" outlineLevel="1" x14ac:dyDescent="0.35">
      <c r="B23" s="77"/>
      <c r="C23" s="77"/>
      <c r="D23" s="21" t="s">
        <v>1642</v>
      </c>
      <c r="E23" s="21" t="s">
        <v>1617</v>
      </c>
      <c r="G23" s="26" t="s">
        <v>341</v>
      </c>
    </row>
    <row r="24" spans="2:8" ht="29" x14ac:dyDescent="0.35">
      <c r="B24" s="77"/>
      <c r="C24" s="77" t="s">
        <v>1366</v>
      </c>
      <c r="D24" s="2"/>
      <c r="E24" s="2"/>
      <c r="G24" s="23">
        <f>COUNTIF(G25:G27,"Yes")</f>
        <v>3</v>
      </c>
    </row>
    <row r="25" spans="2:8" ht="87" outlineLevel="1" x14ac:dyDescent="0.35">
      <c r="B25" s="77"/>
      <c r="C25" s="77"/>
      <c r="D25" s="21" t="s">
        <v>1348</v>
      </c>
      <c r="E25" s="21" t="s">
        <v>4935</v>
      </c>
      <c r="G25" s="26" t="s">
        <v>341</v>
      </c>
    </row>
    <row r="26" spans="2:8" ht="29" outlineLevel="1" x14ac:dyDescent="0.35">
      <c r="B26" s="77"/>
      <c r="C26" s="77"/>
      <c r="D26" s="21" t="s">
        <v>3171</v>
      </c>
      <c r="E26" s="21" t="s">
        <v>3172</v>
      </c>
      <c r="G26" s="26" t="s">
        <v>341</v>
      </c>
    </row>
    <row r="27" spans="2:8" ht="58" outlineLevel="1" x14ac:dyDescent="0.35">
      <c r="B27" s="77"/>
      <c r="C27" s="77"/>
      <c r="D27" s="21" t="s">
        <v>1614</v>
      </c>
      <c r="E27" s="21" t="s">
        <v>1615</v>
      </c>
      <c r="G27" s="26" t="s">
        <v>341</v>
      </c>
    </row>
    <row r="28" spans="2:8" x14ac:dyDescent="0.35">
      <c r="B28" s="77"/>
      <c r="C28" s="77" t="s">
        <v>1365</v>
      </c>
      <c r="D28" s="2"/>
      <c r="E28" s="2"/>
      <c r="G28" s="88"/>
    </row>
    <row r="29" spans="2:8" x14ac:dyDescent="0.35">
      <c r="B29" s="77"/>
      <c r="C29" s="77" t="s">
        <v>1349</v>
      </c>
      <c r="D29" s="2"/>
      <c r="E29" s="2"/>
      <c r="G29" s="23">
        <f>COUNTIF(G31:G50,"Yes")</f>
        <v>18</v>
      </c>
      <c r="H29" s="74"/>
    </row>
    <row r="30" spans="2:8" x14ac:dyDescent="0.35">
      <c r="B30" s="77"/>
      <c r="C30" s="77"/>
      <c r="D30" s="75" t="s">
        <v>1350</v>
      </c>
      <c r="E30" s="2"/>
      <c r="G30" s="88"/>
    </row>
    <row r="31" spans="2:8" ht="29" outlineLevel="1" collapsed="1" x14ac:dyDescent="0.35">
      <c r="B31" s="2"/>
      <c r="C31" s="77"/>
      <c r="D31" s="21" t="s">
        <v>3619</v>
      </c>
      <c r="E31" s="21" t="s">
        <v>1002</v>
      </c>
      <c r="F31" s="62"/>
      <c r="G31" s="26" t="s">
        <v>341</v>
      </c>
    </row>
    <row r="32" spans="2:8" ht="29" outlineLevel="1" x14ac:dyDescent="0.35">
      <c r="B32" s="2"/>
      <c r="C32" s="77"/>
      <c r="D32" s="21" t="s">
        <v>3620</v>
      </c>
      <c r="E32" s="21" t="s">
        <v>1003</v>
      </c>
      <c r="F32" s="62"/>
      <c r="G32" s="26" t="s">
        <v>341</v>
      </c>
    </row>
    <row r="33" spans="2:7" ht="72.5" outlineLevel="1" x14ac:dyDescent="0.35">
      <c r="B33" s="2"/>
      <c r="C33" s="77"/>
      <c r="D33" s="21" t="s">
        <v>1004</v>
      </c>
      <c r="E33" s="21" t="s">
        <v>1071</v>
      </c>
      <c r="F33" s="62"/>
      <c r="G33" s="26" t="s">
        <v>341</v>
      </c>
    </row>
    <row r="34" spans="2:7" outlineLevel="1" x14ac:dyDescent="0.35">
      <c r="B34" s="2"/>
      <c r="C34" s="77"/>
      <c r="D34" s="21" t="s">
        <v>1005</v>
      </c>
      <c r="E34" s="21" t="s">
        <v>1006</v>
      </c>
      <c r="F34" s="62"/>
      <c r="G34" s="26" t="s">
        <v>341</v>
      </c>
    </row>
    <row r="35" spans="2:7" ht="29" outlineLevel="1" x14ac:dyDescent="0.35">
      <c r="B35" s="2"/>
      <c r="C35" s="77"/>
      <c r="D35" s="21" t="s">
        <v>1231</v>
      </c>
      <c r="E35" s="21" t="s">
        <v>1072</v>
      </c>
      <c r="F35" s="62"/>
      <c r="G35" s="26" t="s">
        <v>341</v>
      </c>
    </row>
    <row r="36" spans="2:7" ht="29" outlineLevel="1" x14ac:dyDescent="0.35">
      <c r="B36" s="2"/>
      <c r="C36" s="77"/>
      <c r="D36" s="21" t="s">
        <v>1007</v>
      </c>
      <c r="E36" s="21" t="s">
        <v>1008</v>
      </c>
      <c r="F36" s="62"/>
      <c r="G36" s="26" t="s">
        <v>341</v>
      </c>
    </row>
    <row r="37" spans="2:7" x14ac:dyDescent="0.35">
      <c r="B37" s="2"/>
      <c r="C37" s="77"/>
      <c r="D37" s="75" t="s">
        <v>1697</v>
      </c>
      <c r="E37" s="2"/>
      <c r="F37" s="62"/>
      <c r="G37" s="88"/>
    </row>
    <row r="38" spans="2:7" ht="29" outlineLevel="1" x14ac:dyDescent="0.35">
      <c r="B38" s="2"/>
      <c r="C38" s="77"/>
      <c r="D38" s="21" t="s">
        <v>3621</v>
      </c>
      <c r="E38" s="21" t="s">
        <v>1009</v>
      </c>
      <c r="F38" s="62"/>
      <c r="G38" s="26" t="s">
        <v>341</v>
      </c>
    </row>
    <row r="39" spans="2:7" ht="29" outlineLevel="1" x14ac:dyDescent="0.35">
      <c r="B39" s="2"/>
      <c r="C39" s="77"/>
      <c r="D39" s="21" t="s">
        <v>3622</v>
      </c>
      <c r="E39" s="21" t="s">
        <v>1010</v>
      </c>
      <c r="F39" s="62"/>
      <c r="G39" s="26" t="s">
        <v>341</v>
      </c>
    </row>
    <row r="40" spans="2:7" ht="87" outlineLevel="1" x14ac:dyDescent="0.35">
      <c r="B40" s="2"/>
      <c r="C40" s="77"/>
      <c r="D40" s="21" t="s">
        <v>1011</v>
      </c>
      <c r="E40" s="21" t="s">
        <v>1496</v>
      </c>
      <c r="F40" s="62"/>
      <c r="G40" s="26" t="s">
        <v>341</v>
      </c>
    </row>
    <row r="41" spans="2:7" outlineLevel="1" x14ac:dyDescent="0.35">
      <c r="B41" s="2"/>
      <c r="C41" s="77"/>
      <c r="D41" s="21" t="s">
        <v>1012</v>
      </c>
      <c r="E41" s="21" t="s">
        <v>1013</v>
      </c>
      <c r="F41" s="62"/>
      <c r="G41" s="26" t="s">
        <v>341</v>
      </c>
    </row>
    <row r="42" spans="2:7" ht="29" outlineLevel="1" collapsed="1" x14ac:dyDescent="0.35">
      <c r="B42" s="2"/>
      <c r="C42" s="77"/>
      <c r="D42" s="21" t="s">
        <v>1014</v>
      </c>
      <c r="E42" s="21" t="s">
        <v>1072</v>
      </c>
      <c r="F42" s="62"/>
      <c r="G42" s="26" t="s">
        <v>341</v>
      </c>
    </row>
    <row r="43" spans="2:7" ht="29" outlineLevel="1" x14ac:dyDescent="0.35">
      <c r="B43" s="2"/>
      <c r="C43" s="77"/>
      <c r="D43" s="21" t="s">
        <v>1015</v>
      </c>
      <c r="E43" s="21" t="s">
        <v>1016</v>
      </c>
      <c r="F43" s="62"/>
      <c r="G43" s="26" t="s">
        <v>341</v>
      </c>
    </row>
    <row r="44" spans="2:7" x14ac:dyDescent="0.35">
      <c r="B44" s="2"/>
      <c r="C44" s="77"/>
      <c r="D44" s="75" t="s">
        <v>1351</v>
      </c>
      <c r="E44" s="2"/>
      <c r="F44" s="62"/>
      <c r="G44" s="88"/>
    </row>
    <row r="45" spans="2:7" ht="29" outlineLevel="1" x14ac:dyDescent="0.35">
      <c r="B45" s="2"/>
      <c r="C45" s="77"/>
      <c r="D45" s="21" t="s">
        <v>3623</v>
      </c>
      <c r="E45" s="21" t="s">
        <v>1802</v>
      </c>
      <c r="F45" s="62"/>
      <c r="G45" s="26" t="s">
        <v>341</v>
      </c>
    </row>
    <row r="46" spans="2:7" ht="29" outlineLevel="1" x14ac:dyDescent="0.35">
      <c r="B46" s="2"/>
      <c r="C46" s="77"/>
      <c r="D46" s="21" t="s">
        <v>3624</v>
      </c>
      <c r="E46" s="21" t="s">
        <v>1803</v>
      </c>
      <c r="F46" s="62"/>
      <c r="G46" s="26" t="s">
        <v>341</v>
      </c>
    </row>
    <row r="47" spans="2:7" ht="72.5" outlineLevel="1" x14ac:dyDescent="0.35">
      <c r="B47" s="2"/>
      <c r="C47" s="77"/>
      <c r="D47" s="21" t="s">
        <v>1017</v>
      </c>
      <c r="E47" s="21" t="s">
        <v>1793</v>
      </c>
      <c r="F47" s="62"/>
      <c r="G47" s="26" t="s">
        <v>341</v>
      </c>
    </row>
    <row r="48" spans="2:7" outlineLevel="1" x14ac:dyDescent="0.35">
      <c r="B48" s="2"/>
      <c r="C48" s="77"/>
      <c r="D48" s="21" t="s">
        <v>1018</v>
      </c>
      <c r="E48" s="21" t="s">
        <v>1019</v>
      </c>
      <c r="F48" s="62"/>
      <c r="G48" s="26" t="s">
        <v>341</v>
      </c>
    </row>
    <row r="49" spans="2:8" ht="72.5" outlineLevel="1" x14ac:dyDescent="0.35">
      <c r="B49" s="2"/>
      <c r="C49" s="77"/>
      <c r="D49" s="21" t="s">
        <v>1020</v>
      </c>
      <c r="E49" s="21" t="s">
        <v>1792</v>
      </c>
      <c r="F49" s="62"/>
      <c r="G49" s="26" t="s">
        <v>341</v>
      </c>
    </row>
    <row r="50" spans="2:8" ht="29" outlineLevel="1" x14ac:dyDescent="0.35">
      <c r="B50" s="2"/>
      <c r="C50" s="77"/>
      <c r="D50" s="21" t="s">
        <v>1021</v>
      </c>
      <c r="E50" s="21" t="s">
        <v>1022</v>
      </c>
      <c r="F50" s="62"/>
      <c r="G50" s="26" t="s">
        <v>341</v>
      </c>
    </row>
    <row r="51" spans="2:8" x14ac:dyDescent="0.35">
      <c r="B51" s="77"/>
      <c r="C51" s="77" t="s">
        <v>1352</v>
      </c>
      <c r="D51" s="2"/>
      <c r="E51" s="2"/>
      <c r="G51" s="23">
        <f>COUNTIF(G52:G93,"Yes")</f>
        <v>36</v>
      </c>
      <c r="H51" s="74"/>
    </row>
    <row r="52" spans="2:8" x14ac:dyDescent="0.35">
      <c r="B52" s="2"/>
      <c r="C52" s="77"/>
      <c r="D52" s="75" t="s">
        <v>1353</v>
      </c>
      <c r="E52" s="2"/>
      <c r="F52" s="62"/>
      <c r="G52" s="88"/>
      <c r="H52" s="74"/>
    </row>
    <row r="53" spans="2:8" ht="29" outlineLevel="1" x14ac:dyDescent="0.35">
      <c r="B53" s="2"/>
      <c r="C53" s="77"/>
      <c r="D53" s="21" t="s">
        <v>3625</v>
      </c>
      <c r="E53" s="21" t="s">
        <v>1023</v>
      </c>
      <c r="F53" s="62"/>
      <c r="G53" s="26" t="s">
        <v>341</v>
      </c>
    </row>
    <row r="54" spans="2:8" ht="29" outlineLevel="1" x14ac:dyDescent="0.35">
      <c r="B54" s="2"/>
      <c r="C54" s="77"/>
      <c r="D54" s="21" t="s">
        <v>3626</v>
      </c>
      <c r="E54" s="21" t="s">
        <v>1024</v>
      </c>
      <c r="F54" s="62"/>
      <c r="G54" s="26" t="s">
        <v>341</v>
      </c>
    </row>
    <row r="55" spans="2:8" ht="72.5" outlineLevel="1" x14ac:dyDescent="0.35">
      <c r="B55" s="2"/>
      <c r="C55" s="77"/>
      <c r="D55" s="21" t="s">
        <v>1025</v>
      </c>
      <c r="E55" s="21" t="s">
        <v>1775</v>
      </c>
      <c r="F55" s="62"/>
      <c r="G55" s="26" t="s">
        <v>341</v>
      </c>
    </row>
    <row r="56" spans="2:8" outlineLevel="1" x14ac:dyDescent="0.35">
      <c r="B56" s="2"/>
      <c r="C56" s="77"/>
      <c r="D56" s="21" t="s">
        <v>1026</v>
      </c>
      <c r="E56" s="21" t="s">
        <v>1027</v>
      </c>
      <c r="F56" s="62"/>
      <c r="G56" s="26" t="s">
        <v>341</v>
      </c>
    </row>
    <row r="57" spans="2:8" ht="29" outlineLevel="1" x14ac:dyDescent="0.35">
      <c r="B57" s="2"/>
      <c r="C57" s="77"/>
      <c r="D57" s="21" t="s">
        <v>1028</v>
      </c>
      <c r="E57" s="21" t="s">
        <v>1795</v>
      </c>
      <c r="F57" s="62"/>
      <c r="G57" s="26" t="s">
        <v>341</v>
      </c>
    </row>
    <row r="58" spans="2:8" ht="29" outlineLevel="1" x14ac:dyDescent="0.35">
      <c r="B58" s="2"/>
      <c r="C58" s="77"/>
      <c r="D58" s="21" t="s">
        <v>1029</v>
      </c>
      <c r="E58" s="21" t="s">
        <v>1030</v>
      </c>
      <c r="F58" s="62"/>
      <c r="G58" s="26" t="s">
        <v>341</v>
      </c>
    </row>
    <row r="59" spans="2:8" x14ac:dyDescent="0.35">
      <c r="B59" s="2"/>
      <c r="C59" s="77"/>
      <c r="D59" s="75" t="s">
        <v>1354</v>
      </c>
      <c r="E59" s="2"/>
      <c r="F59" s="62"/>
      <c r="G59" s="88"/>
      <c r="H59" s="74"/>
    </row>
    <row r="60" spans="2:8" ht="75" customHeight="1" outlineLevel="1" x14ac:dyDescent="0.35">
      <c r="B60" s="2"/>
      <c r="C60" s="77"/>
      <c r="D60" s="2" t="s">
        <v>4410</v>
      </c>
      <c r="E60" s="21" t="s">
        <v>4411</v>
      </c>
      <c r="F60" s="62"/>
      <c r="G60" s="26" t="s">
        <v>341</v>
      </c>
      <c r="H60" s="170"/>
    </row>
    <row r="61" spans="2:8" ht="75" customHeight="1" outlineLevel="1" x14ac:dyDescent="0.35">
      <c r="B61" s="2"/>
      <c r="C61" s="77"/>
      <c r="D61" s="169" t="s">
        <v>4412</v>
      </c>
      <c r="E61" s="21" t="s">
        <v>4413</v>
      </c>
      <c r="F61" s="62"/>
      <c r="G61" s="26" t="s">
        <v>341</v>
      </c>
      <c r="H61" s="170"/>
    </row>
    <row r="62" spans="2:8" ht="29" outlineLevel="1" x14ac:dyDescent="0.35">
      <c r="B62" s="2"/>
      <c r="C62" s="77"/>
      <c r="D62" s="21" t="s">
        <v>3627</v>
      </c>
      <c r="E62" s="21" t="s">
        <v>1314</v>
      </c>
      <c r="F62" s="62"/>
      <c r="G62" s="26" t="s">
        <v>341</v>
      </c>
      <c r="H62" s="136"/>
    </row>
    <row r="63" spans="2:8" ht="29" outlineLevel="1" x14ac:dyDescent="0.35">
      <c r="B63" s="2"/>
      <c r="C63" s="77"/>
      <c r="D63" s="21" t="s">
        <v>3628</v>
      </c>
      <c r="E63" s="21" t="s">
        <v>1315</v>
      </c>
      <c r="F63" s="62"/>
      <c r="G63" s="26" t="s">
        <v>341</v>
      </c>
      <c r="H63" s="136"/>
    </row>
    <row r="64" spans="2:8" ht="72.5" outlineLevel="1" x14ac:dyDescent="0.35">
      <c r="B64" s="2"/>
      <c r="C64" s="77"/>
      <c r="D64" s="21" t="s">
        <v>4414</v>
      </c>
      <c r="E64" s="21" t="s">
        <v>4415</v>
      </c>
      <c r="F64" s="62"/>
      <c r="G64" s="26" t="s">
        <v>341</v>
      </c>
      <c r="H64" s="136"/>
    </row>
    <row r="65" spans="2:8" ht="58" outlineLevel="1" x14ac:dyDescent="0.35">
      <c r="B65" s="2"/>
      <c r="C65" s="77"/>
      <c r="D65" s="21" t="s">
        <v>4416</v>
      </c>
      <c r="E65" s="21" t="s">
        <v>4417</v>
      </c>
      <c r="F65" s="62"/>
      <c r="G65" s="26" t="s">
        <v>341</v>
      </c>
      <c r="H65" s="136"/>
    </row>
    <row r="66" spans="2:8" ht="72.5" outlineLevel="1" x14ac:dyDescent="0.35">
      <c r="B66" s="2"/>
      <c r="C66" s="77"/>
      <c r="D66" s="21" t="s">
        <v>4418</v>
      </c>
      <c r="E66" s="21" t="s">
        <v>4440</v>
      </c>
      <c r="F66" s="62"/>
      <c r="G66" s="26" t="s">
        <v>341</v>
      </c>
      <c r="H66" s="136"/>
    </row>
    <row r="67" spans="2:8" outlineLevel="1" x14ac:dyDescent="0.35">
      <c r="B67" s="2"/>
      <c r="C67" s="77"/>
      <c r="D67" s="21" t="s">
        <v>1438</v>
      </c>
      <c r="E67" s="21" t="s">
        <v>1776</v>
      </c>
      <c r="F67" s="62"/>
      <c r="G67" s="26" t="s">
        <v>341</v>
      </c>
      <c r="H67" s="136"/>
    </row>
    <row r="68" spans="2:8" ht="29" outlineLevel="1" x14ac:dyDescent="0.35">
      <c r="B68" s="2"/>
      <c r="C68" s="77"/>
      <c r="D68" s="21" t="s">
        <v>1316</v>
      </c>
      <c r="E68" s="21" t="s">
        <v>1031</v>
      </c>
      <c r="F68" s="62"/>
      <c r="G68" s="26" t="s">
        <v>341</v>
      </c>
      <c r="H68" s="136"/>
    </row>
    <row r="69" spans="2:8" outlineLevel="1" x14ac:dyDescent="0.35">
      <c r="B69" s="2"/>
      <c r="C69" s="77"/>
      <c r="D69" s="21" t="s">
        <v>1317</v>
      </c>
      <c r="E69" s="21" t="s">
        <v>1501</v>
      </c>
      <c r="F69" s="62"/>
      <c r="G69" s="26" t="s">
        <v>341</v>
      </c>
    </row>
    <row r="70" spans="2:8" x14ac:dyDescent="0.35">
      <c r="B70" s="2"/>
      <c r="C70" s="77"/>
      <c r="D70" s="75" t="s">
        <v>1355</v>
      </c>
      <c r="E70" s="2"/>
      <c r="F70" s="62"/>
      <c r="G70" s="88"/>
      <c r="H70" s="74"/>
    </row>
    <row r="71" spans="2:8" ht="29" outlineLevel="1" x14ac:dyDescent="0.35">
      <c r="B71" s="2"/>
      <c r="C71" s="77"/>
      <c r="D71" s="21" t="s">
        <v>3629</v>
      </c>
      <c r="E71" s="21" t="s">
        <v>1032</v>
      </c>
      <c r="F71" s="62"/>
      <c r="G71" s="26" t="s">
        <v>341</v>
      </c>
      <c r="H71" s="136"/>
    </row>
    <row r="72" spans="2:8" ht="29" outlineLevel="1" x14ac:dyDescent="0.35">
      <c r="B72" s="2"/>
      <c r="C72" s="77"/>
      <c r="D72" s="21" t="s">
        <v>3630</v>
      </c>
      <c r="E72" s="21" t="s">
        <v>1033</v>
      </c>
      <c r="F72" s="62"/>
      <c r="G72" s="26" t="s">
        <v>341</v>
      </c>
      <c r="H72" s="136"/>
    </row>
    <row r="73" spans="2:8" outlineLevel="1" x14ac:dyDescent="0.35">
      <c r="B73" s="2"/>
      <c r="C73" s="77"/>
      <c r="D73" s="21" t="s">
        <v>1034</v>
      </c>
      <c r="E73" s="21" t="s">
        <v>1035</v>
      </c>
      <c r="F73" s="62"/>
      <c r="G73" s="26" t="s">
        <v>341</v>
      </c>
      <c r="H73" s="136"/>
    </row>
    <row r="74" spans="2:8" ht="29" outlineLevel="1" x14ac:dyDescent="0.35">
      <c r="B74" s="2"/>
      <c r="C74" s="77"/>
      <c r="D74" s="21" t="s">
        <v>1064</v>
      </c>
      <c r="E74" s="21" t="s">
        <v>1234</v>
      </c>
      <c r="F74" s="62"/>
      <c r="G74" s="26" t="s">
        <v>341</v>
      </c>
      <c r="H74" s="136"/>
    </row>
    <row r="75" spans="2:8" outlineLevel="1" x14ac:dyDescent="0.35">
      <c r="B75" s="2"/>
      <c r="C75" s="77"/>
      <c r="D75" s="21" t="s">
        <v>1036</v>
      </c>
      <c r="E75" s="21" t="s">
        <v>1037</v>
      </c>
      <c r="F75" s="62"/>
      <c r="G75" s="26" t="s">
        <v>341</v>
      </c>
      <c r="H75" s="136"/>
    </row>
    <row r="76" spans="2:8" ht="29" outlineLevel="1" x14ac:dyDescent="0.35">
      <c r="B76" s="2"/>
      <c r="C76" s="77"/>
      <c r="D76" s="21" t="s">
        <v>1038</v>
      </c>
      <c r="E76" s="21" t="s">
        <v>1039</v>
      </c>
      <c r="F76" s="62"/>
      <c r="G76" s="26" t="s">
        <v>341</v>
      </c>
    </row>
    <row r="77" spans="2:8" x14ac:dyDescent="0.35">
      <c r="B77" s="2"/>
      <c r="C77" s="77"/>
      <c r="D77" s="75" t="s">
        <v>1356</v>
      </c>
      <c r="E77" s="2"/>
      <c r="F77" s="62"/>
      <c r="G77" s="88"/>
      <c r="H77" s="74"/>
    </row>
    <row r="78" spans="2:8" ht="29" outlineLevel="1" x14ac:dyDescent="0.35">
      <c r="B78" s="2"/>
      <c r="C78" s="77"/>
      <c r="D78" s="21" t="s">
        <v>1040</v>
      </c>
      <c r="E78" s="21" t="s">
        <v>1041</v>
      </c>
      <c r="F78" s="62"/>
      <c r="G78" s="26" t="s">
        <v>341</v>
      </c>
      <c r="H78" s="136"/>
    </row>
    <row r="79" spans="2:8" ht="58" outlineLevel="1" x14ac:dyDescent="0.35">
      <c r="B79" s="2"/>
      <c r="C79" s="77"/>
      <c r="D79" s="21" t="s">
        <v>1042</v>
      </c>
      <c r="E79" s="21" t="s">
        <v>1495</v>
      </c>
      <c r="F79" s="62"/>
      <c r="G79" s="26" t="s">
        <v>341</v>
      </c>
      <c r="H79" s="136"/>
    </row>
    <row r="80" spans="2:8" ht="101.5" outlineLevel="1" x14ac:dyDescent="0.35">
      <c r="B80" s="2"/>
      <c r="C80" s="77"/>
      <c r="D80" s="21" t="s">
        <v>1179</v>
      </c>
      <c r="E80" s="21" t="s">
        <v>1073</v>
      </c>
      <c r="F80" s="62"/>
      <c r="G80" s="26" t="s">
        <v>341</v>
      </c>
      <c r="H80" s="136"/>
    </row>
    <row r="81" spans="2:8" outlineLevel="1" x14ac:dyDescent="0.35">
      <c r="B81" s="2"/>
      <c r="C81" s="77"/>
      <c r="D81" s="21" t="s">
        <v>1043</v>
      </c>
      <c r="E81" s="21" t="s">
        <v>1044</v>
      </c>
      <c r="F81" s="62"/>
      <c r="G81" s="26" t="s">
        <v>341</v>
      </c>
      <c r="H81" s="136"/>
    </row>
    <row r="82" spans="2:8" outlineLevel="1" x14ac:dyDescent="0.35">
      <c r="B82" s="2"/>
      <c r="C82" s="77"/>
      <c r="D82" s="21" t="s">
        <v>948</v>
      </c>
      <c r="E82" s="21" t="s">
        <v>1045</v>
      </c>
      <c r="F82" s="62"/>
      <c r="G82" s="26" t="s">
        <v>341</v>
      </c>
      <c r="H82" s="136"/>
    </row>
    <row r="83" spans="2:8" ht="29" outlineLevel="1" x14ac:dyDescent="0.35">
      <c r="B83" s="2"/>
      <c r="C83" s="77"/>
      <c r="D83" s="21" t="s">
        <v>1046</v>
      </c>
      <c r="E83" s="21" t="s">
        <v>1047</v>
      </c>
      <c r="F83" s="62"/>
      <c r="G83" s="26" t="s">
        <v>341</v>
      </c>
    </row>
    <row r="84" spans="2:8" x14ac:dyDescent="0.35">
      <c r="B84" s="2"/>
      <c r="C84" s="77"/>
      <c r="D84" s="75" t="s">
        <v>1357</v>
      </c>
      <c r="E84" s="2"/>
      <c r="F84" s="62"/>
      <c r="G84" s="88"/>
      <c r="H84" s="74"/>
    </row>
    <row r="85" spans="2:8" ht="29" outlineLevel="1" x14ac:dyDescent="0.35">
      <c r="B85" s="2"/>
      <c r="C85" s="77"/>
      <c r="D85" s="21" t="s">
        <v>3631</v>
      </c>
      <c r="E85" s="21" t="s">
        <v>1048</v>
      </c>
      <c r="F85" s="62"/>
      <c r="G85" s="26" t="s">
        <v>341</v>
      </c>
      <c r="H85" s="136"/>
    </row>
    <row r="86" spans="2:8" ht="29" outlineLevel="1" x14ac:dyDescent="0.35">
      <c r="B86" s="2"/>
      <c r="C86" s="77"/>
      <c r="D86" s="21" t="s">
        <v>3632</v>
      </c>
      <c r="E86" s="21" t="s">
        <v>1049</v>
      </c>
      <c r="F86" s="62"/>
      <c r="G86" s="26" t="s">
        <v>341</v>
      </c>
      <c r="H86" s="136"/>
    </row>
    <row r="87" spans="2:8" ht="29" outlineLevel="1" x14ac:dyDescent="0.35">
      <c r="B87" s="2"/>
      <c r="C87" s="77"/>
      <c r="D87" s="21" t="s">
        <v>1050</v>
      </c>
      <c r="E87" s="21" t="s">
        <v>1051</v>
      </c>
      <c r="F87" s="62"/>
      <c r="G87" s="26" t="s">
        <v>341</v>
      </c>
    </row>
    <row r="88" spans="2:8" x14ac:dyDescent="0.35">
      <c r="B88" s="2"/>
      <c r="C88" s="77"/>
      <c r="D88" s="75" t="s">
        <v>1358</v>
      </c>
      <c r="E88" s="2"/>
      <c r="F88" s="62"/>
      <c r="G88" s="88"/>
      <c r="H88" s="74"/>
    </row>
    <row r="89" spans="2:8" ht="29" outlineLevel="1" x14ac:dyDescent="0.35">
      <c r="B89" s="2"/>
      <c r="C89" s="77"/>
      <c r="D89" s="21" t="s">
        <v>3633</v>
      </c>
      <c r="E89" s="21" t="s">
        <v>1065</v>
      </c>
      <c r="F89" s="62"/>
      <c r="G89" s="26" t="s">
        <v>341</v>
      </c>
    </row>
    <row r="90" spans="2:8" ht="29" outlineLevel="1" x14ac:dyDescent="0.35">
      <c r="B90" s="2"/>
      <c r="C90" s="77"/>
      <c r="D90" s="21" t="s">
        <v>3634</v>
      </c>
      <c r="E90" s="21" t="s">
        <v>1066</v>
      </c>
      <c r="F90" s="62"/>
      <c r="G90" s="26" t="s">
        <v>341</v>
      </c>
    </row>
    <row r="91" spans="2:8" ht="116" outlineLevel="1" x14ac:dyDescent="0.35">
      <c r="B91" s="2"/>
      <c r="C91" s="77"/>
      <c r="D91" s="21" t="s">
        <v>1052</v>
      </c>
      <c r="E91" s="21" t="s">
        <v>1494</v>
      </c>
      <c r="F91" s="62"/>
      <c r="G91" s="26" t="s">
        <v>341</v>
      </c>
    </row>
    <row r="92" spans="2:8" outlineLevel="1" x14ac:dyDescent="0.35">
      <c r="B92" s="2"/>
      <c r="C92" s="77"/>
      <c r="D92" s="21" t="s">
        <v>1053</v>
      </c>
      <c r="E92" s="21" t="s">
        <v>1067</v>
      </c>
      <c r="F92" s="62"/>
      <c r="G92" s="26" t="s">
        <v>341</v>
      </c>
    </row>
    <row r="93" spans="2:8" ht="29" outlineLevel="1" x14ac:dyDescent="0.35">
      <c r="B93" s="2"/>
      <c r="C93" s="77"/>
      <c r="D93" s="21" t="s">
        <v>1054</v>
      </c>
      <c r="E93" s="21" t="s">
        <v>1068</v>
      </c>
      <c r="F93" s="62"/>
      <c r="G93" s="26" t="s">
        <v>341</v>
      </c>
    </row>
    <row r="94" spans="2:8" x14ac:dyDescent="0.35">
      <c r="B94" s="77"/>
      <c r="C94" s="77" t="s">
        <v>1359</v>
      </c>
      <c r="D94" s="2"/>
      <c r="E94" s="2"/>
      <c r="G94" s="23">
        <f>COUNTIF(G96:G104,"Yes")</f>
        <v>9</v>
      </c>
      <c r="H94" s="74"/>
    </row>
    <row r="95" spans="2:8" x14ac:dyDescent="0.35">
      <c r="B95" s="2"/>
      <c r="C95" s="77"/>
      <c r="D95" s="75" t="s">
        <v>1360</v>
      </c>
      <c r="E95" s="2"/>
      <c r="F95" s="62"/>
      <c r="G95" s="88"/>
      <c r="H95" s="74"/>
    </row>
    <row r="96" spans="2:8" ht="29" outlineLevel="1" x14ac:dyDescent="0.35">
      <c r="B96" s="2"/>
      <c r="C96" s="77"/>
      <c r="D96" s="21" t="s">
        <v>3635</v>
      </c>
      <c r="E96" s="21" t="s">
        <v>1055</v>
      </c>
      <c r="F96" s="62"/>
      <c r="G96" s="26" t="s">
        <v>341</v>
      </c>
      <c r="H96" s="74"/>
    </row>
    <row r="97" spans="2:8" ht="29" outlineLevel="1" x14ac:dyDescent="0.35">
      <c r="B97" s="2"/>
      <c r="C97" s="77"/>
      <c r="D97" s="21" t="s">
        <v>3636</v>
      </c>
      <c r="E97" s="21" t="s">
        <v>1056</v>
      </c>
      <c r="F97" s="62"/>
      <c r="G97" s="26" t="s">
        <v>341</v>
      </c>
      <c r="H97" s="74"/>
    </row>
    <row r="98" spans="2:8" ht="87" outlineLevel="1" x14ac:dyDescent="0.35">
      <c r="B98" s="2"/>
      <c r="C98" s="77"/>
      <c r="D98" s="21" t="s">
        <v>1057</v>
      </c>
      <c r="E98" s="21" t="s">
        <v>1497</v>
      </c>
      <c r="F98" s="62"/>
      <c r="G98" s="26" t="s">
        <v>341</v>
      </c>
      <c r="H98" s="74"/>
    </row>
    <row r="99" spans="2:8" ht="29" outlineLevel="1" x14ac:dyDescent="0.35">
      <c r="B99" s="2"/>
      <c r="C99" s="77"/>
      <c r="D99" s="21" t="s">
        <v>3637</v>
      </c>
      <c r="E99" s="21" t="s">
        <v>1069</v>
      </c>
      <c r="F99" s="62"/>
      <c r="G99" s="26" t="s">
        <v>341</v>
      </c>
      <c r="H99" s="74"/>
    </row>
    <row r="100" spans="2:8" ht="29" outlineLevel="1" x14ac:dyDescent="0.35">
      <c r="B100" s="2"/>
      <c r="C100" s="77"/>
      <c r="D100" s="21" t="s">
        <v>3638</v>
      </c>
      <c r="E100" s="21" t="s">
        <v>1070</v>
      </c>
      <c r="F100" s="62"/>
      <c r="G100" s="26" t="s">
        <v>341</v>
      </c>
      <c r="H100" s="74"/>
    </row>
    <row r="101" spans="2:8" outlineLevel="1" x14ac:dyDescent="0.35">
      <c r="B101" s="2"/>
      <c r="C101" s="77"/>
      <c r="D101" s="21" t="s">
        <v>1058</v>
      </c>
      <c r="E101" s="21" t="s">
        <v>1059</v>
      </c>
      <c r="F101" s="62"/>
      <c r="G101" s="26" t="s">
        <v>341</v>
      </c>
      <c r="H101" s="74"/>
    </row>
    <row r="102" spans="2:8" ht="29" outlineLevel="1" x14ac:dyDescent="0.35">
      <c r="B102" s="2"/>
      <c r="C102" s="77"/>
      <c r="D102" s="21" t="s">
        <v>966</v>
      </c>
      <c r="E102" s="21" t="s">
        <v>1060</v>
      </c>
      <c r="F102" s="62"/>
      <c r="G102" s="26" t="s">
        <v>341</v>
      </c>
      <c r="H102" s="74"/>
    </row>
    <row r="103" spans="2:8" ht="29" outlineLevel="1" x14ac:dyDescent="0.35">
      <c r="B103" s="2"/>
      <c r="C103" s="77"/>
      <c r="D103" s="21" t="s">
        <v>1061</v>
      </c>
      <c r="E103" s="21" t="s">
        <v>1072</v>
      </c>
      <c r="F103" s="62"/>
      <c r="G103" s="26" t="s">
        <v>341</v>
      </c>
      <c r="H103" s="74"/>
    </row>
    <row r="104" spans="2:8" ht="29" outlineLevel="1" x14ac:dyDescent="0.35">
      <c r="B104" s="2"/>
      <c r="C104" s="77"/>
      <c r="D104" s="21" t="s">
        <v>1062</v>
      </c>
      <c r="E104" s="21" t="s">
        <v>1063</v>
      </c>
      <c r="F104" s="62"/>
      <c r="G104" s="26" t="s">
        <v>341</v>
      </c>
      <c r="H104" s="74"/>
    </row>
    <row r="105" spans="2:8" x14ac:dyDescent="0.35">
      <c r="B105" s="77"/>
      <c r="C105" s="77" t="s">
        <v>1361</v>
      </c>
      <c r="D105" s="2"/>
      <c r="E105" s="2"/>
      <c r="G105" s="23">
        <f>COUNTIF(G106:G142,"Yes")</f>
        <v>32</v>
      </c>
      <c r="H105" s="74"/>
    </row>
    <row r="106" spans="2:8" x14ac:dyDescent="0.35">
      <c r="B106" s="2"/>
      <c r="C106" s="77"/>
      <c r="D106" s="75" t="s">
        <v>1362</v>
      </c>
      <c r="E106" s="2"/>
      <c r="F106" s="62"/>
      <c r="G106" s="88"/>
      <c r="H106" s="74"/>
    </row>
    <row r="107" spans="2:8" ht="29" outlineLevel="1" x14ac:dyDescent="0.35">
      <c r="B107" s="2"/>
      <c r="C107" s="77"/>
      <c r="D107" s="21" t="s">
        <v>943</v>
      </c>
      <c r="E107" s="21" t="s">
        <v>944</v>
      </c>
      <c r="F107" s="62"/>
      <c r="G107" s="26" t="s">
        <v>341</v>
      </c>
    </row>
    <row r="108" spans="2:8" outlineLevel="1" x14ac:dyDescent="0.35">
      <c r="B108" s="2"/>
      <c r="C108" s="77"/>
      <c r="D108" s="21" t="s">
        <v>1074</v>
      </c>
      <c r="E108" s="21" t="s">
        <v>1232</v>
      </c>
      <c r="F108" s="62"/>
      <c r="G108" s="26" t="s">
        <v>341</v>
      </c>
    </row>
    <row r="109" spans="2:8" outlineLevel="1" x14ac:dyDescent="0.35">
      <c r="B109" s="2"/>
      <c r="C109" s="77"/>
      <c r="D109" s="21" t="s">
        <v>1804</v>
      </c>
      <c r="E109" s="21" t="s">
        <v>923</v>
      </c>
      <c r="F109" s="62"/>
      <c r="G109" s="26" t="s">
        <v>341</v>
      </c>
    </row>
    <row r="110" spans="2:8" ht="29" outlineLevel="1" x14ac:dyDescent="0.35">
      <c r="B110" s="2"/>
      <c r="C110" s="77"/>
      <c r="D110" s="21" t="s">
        <v>917</v>
      </c>
      <c r="E110" s="21" t="s">
        <v>1498</v>
      </c>
      <c r="F110" s="62"/>
      <c r="G110" s="26" t="s">
        <v>341</v>
      </c>
    </row>
    <row r="111" spans="2:8" outlineLevel="1" x14ac:dyDescent="0.35">
      <c r="B111" s="2"/>
      <c r="C111" s="77"/>
      <c r="D111" s="21" t="s">
        <v>918</v>
      </c>
      <c r="E111" s="21" t="s">
        <v>967</v>
      </c>
      <c r="F111" s="62"/>
      <c r="G111" s="26" t="s">
        <v>341</v>
      </c>
    </row>
    <row r="112" spans="2:8" ht="29" outlineLevel="1" x14ac:dyDescent="0.35">
      <c r="B112" s="2"/>
      <c r="C112" s="77"/>
      <c r="D112" s="21" t="s">
        <v>1840</v>
      </c>
      <c r="E112" s="21" t="s">
        <v>1861</v>
      </c>
      <c r="F112" s="62"/>
      <c r="G112" s="26" t="s">
        <v>341</v>
      </c>
    </row>
    <row r="113" spans="2:8" ht="29" outlineLevel="1" x14ac:dyDescent="0.35">
      <c r="B113" s="2"/>
      <c r="C113" s="77"/>
      <c r="D113" s="21" t="s">
        <v>919</v>
      </c>
      <c r="E113" s="21" t="s">
        <v>1233</v>
      </c>
      <c r="F113" s="62"/>
      <c r="G113" s="26" t="s">
        <v>341</v>
      </c>
    </row>
    <row r="114" spans="2:8" outlineLevel="1" x14ac:dyDescent="0.35">
      <c r="B114" s="2"/>
      <c r="C114" s="77"/>
      <c r="D114" s="21" t="s">
        <v>920</v>
      </c>
      <c r="E114" s="21" t="s">
        <v>922</v>
      </c>
      <c r="F114" s="62"/>
      <c r="G114" s="26" t="s">
        <v>341</v>
      </c>
    </row>
    <row r="115" spans="2:8" outlineLevel="1" x14ac:dyDescent="0.35">
      <c r="B115" s="2"/>
      <c r="C115" s="77"/>
      <c r="D115" s="21" t="s">
        <v>1805</v>
      </c>
      <c r="E115" s="21" t="s">
        <v>1237</v>
      </c>
      <c r="F115" s="62"/>
      <c r="G115" s="26" t="s">
        <v>341</v>
      </c>
    </row>
    <row r="116" spans="2:8" outlineLevel="1" x14ac:dyDescent="0.35">
      <c r="B116" s="2"/>
      <c r="C116" s="77"/>
      <c r="D116" s="21" t="s">
        <v>921</v>
      </c>
      <c r="E116" s="21" t="s">
        <v>945</v>
      </c>
      <c r="F116" s="62"/>
      <c r="G116" s="26" t="s">
        <v>341</v>
      </c>
    </row>
    <row r="117" spans="2:8" outlineLevel="1" x14ac:dyDescent="0.35">
      <c r="B117" s="2"/>
      <c r="C117" s="77"/>
      <c r="D117" s="21" t="s">
        <v>954</v>
      </c>
      <c r="E117" s="21" t="s">
        <v>1679</v>
      </c>
      <c r="F117" s="62"/>
      <c r="G117" s="26" t="s">
        <v>341</v>
      </c>
    </row>
    <row r="118" spans="2:8" ht="29" outlineLevel="1" x14ac:dyDescent="0.35">
      <c r="B118" s="2"/>
      <c r="C118" s="77"/>
      <c r="D118" s="21" t="s">
        <v>953</v>
      </c>
      <c r="E118" s="21" t="s">
        <v>946</v>
      </c>
      <c r="F118" s="62"/>
      <c r="G118" s="26" t="s">
        <v>341</v>
      </c>
    </row>
    <row r="119" spans="2:8" ht="87" outlineLevel="1" x14ac:dyDescent="0.35">
      <c r="B119" s="2"/>
      <c r="C119" s="77"/>
      <c r="D119" s="21" t="s">
        <v>5206</v>
      </c>
      <c r="E119" s="21" t="s">
        <v>5227</v>
      </c>
      <c r="F119" s="62"/>
      <c r="G119" s="26" t="s">
        <v>341</v>
      </c>
    </row>
    <row r="120" spans="2:8" ht="29" outlineLevel="1" x14ac:dyDescent="0.35">
      <c r="B120" s="2"/>
      <c r="C120" s="77"/>
      <c r="D120" s="21" t="s">
        <v>5207</v>
      </c>
      <c r="E120" s="21" t="s">
        <v>5228</v>
      </c>
      <c r="F120" s="62"/>
      <c r="G120" s="26" t="s">
        <v>341</v>
      </c>
    </row>
    <row r="121" spans="2:8" ht="87" outlineLevel="1" x14ac:dyDescent="0.35">
      <c r="B121" s="2"/>
      <c r="C121" s="77"/>
      <c r="D121" s="21" t="s">
        <v>5208</v>
      </c>
      <c r="E121" s="21" t="s">
        <v>5229</v>
      </c>
      <c r="F121" s="62"/>
      <c r="G121" s="26" t="s">
        <v>341</v>
      </c>
    </row>
    <row r="122" spans="2:8" ht="87" outlineLevel="1" x14ac:dyDescent="0.35">
      <c r="B122" s="2"/>
      <c r="C122" s="77"/>
      <c r="D122" s="21" t="s">
        <v>4958</v>
      </c>
      <c r="E122" s="21" t="s">
        <v>4960</v>
      </c>
      <c r="F122" s="62"/>
      <c r="G122" s="26" t="s">
        <v>341</v>
      </c>
    </row>
    <row r="123" spans="2:8" outlineLevel="1" x14ac:dyDescent="0.35">
      <c r="B123" s="2"/>
      <c r="C123" s="77"/>
      <c r="D123" s="21" t="s">
        <v>955</v>
      </c>
      <c r="E123" s="21" t="s">
        <v>1235</v>
      </c>
      <c r="F123" s="62"/>
      <c r="G123" s="26" t="s">
        <v>341</v>
      </c>
    </row>
    <row r="124" spans="2:8" ht="58" outlineLevel="1" x14ac:dyDescent="0.35">
      <c r="B124" s="2"/>
      <c r="C124" s="77"/>
      <c r="D124" s="21" t="s">
        <v>5209</v>
      </c>
      <c r="E124" s="21" t="s">
        <v>5236</v>
      </c>
      <c r="F124" s="62"/>
      <c r="G124" s="26" t="s">
        <v>341</v>
      </c>
    </row>
    <row r="125" spans="2:8" outlineLevel="1" x14ac:dyDescent="0.35">
      <c r="B125" s="2"/>
      <c r="C125" s="77"/>
      <c r="D125" s="21" t="s">
        <v>956</v>
      </c>
      <c r="E125" s="21" t="s">
        <v>1680</v>
      </c>
      <c r="F125" s="62"/>
      <c r="G125" s="26" t="s">
        <v>341</v>
      </c>
    </row>
    <row r="126" spans="2:8" ht="72.5" outlineLevel="1" x14ac:dyDescent="0.35">
      <c r="B126" s="2"/>
      <c r="C126" s="77"/>
      <c r="D126" s="21" t="s">
        <v>4959</v>
      </c>
      <c r="E126" s="21" t="s">
        <v>4961</v>
      </c>
      <c r="F126" s="62"/>
      <c r="G126" s="26" t="s">
        <v>341</v>
      </c>
    </row>
    <row r="127" spans="2:8" outlineLevel="1" x14ac:dyDescent="0.35">
      <c r="B127" s="2"/>
      <c r="C127" s="77"/>
      <c r="D127" s="21" t="s">
        <v>3617</v>
      </c>
      <c r="E127" s="21" t="s">
        <v>1236</v>
      </c>
      <c r="F127" s="62"/>
      <c r="G127" s="26" t="s">
        <v>341</v>
      </c>
    </row>
    <row r="128" spans="2:8" x14ac:dyDescent="0.35">
      <c r="B128" s="2"/>
      <c r="C128" s="77"/>
      <c r="D128" s="75" t="s">
        <v>3639</v>
      </c>
      <c r="E128" s="2"/>
      <c r="F128" s="62"/>
      <c r="G128" s="88"/>
      <c r="H128" s="74"/>
    </row>
    <row r="129" spans="2:8" outlineLevel="1" x14ac:dyDescent="0.35">
      <c r="B129" s="2"/>
      <c r="C129" s="77"/>
      <c r="D129" s="21" t="s">
        <v>3640</v>
      </c>
      <c r="E129" s="21" t="s">
        <v>4436</v>
      </c>
      <c r="F129" s="62"/>
      <c r="G129" s="26" t="s">
        <v>341</v>
      </c>
    </row>
    <row r="130" spans="2:8" outlineLevel="1" x14ac:dyDescent="0.35">
      <c r="B130" s="2"/>
      <c r="C130" s="77"/>
      <c r="D130" s="21" t="s">
        <v>937</v>
      </c>
      <c r="E130" s="21" t="s">
        <v>950</v>
      </c>
      <c r="F130" s="62"/>
      <c r="G130" s="26" t="s">
        <v>341</v>
      </c>
    </row>
    <row r="131" spans="2:8" x14ac:dyDescent="0.35">
      <c r="B131" s="2"/>
      <c r="C131" s="77"/>
      <c r="D131" s="75" t="s">
        <v>1363</v>
      </c>
      <c r="E131" s="2"/>
      <c r="F131" s="62"/>
      <c r="G131" s="88"/>
      <c r="H131" s="74"/>
    </row>
    <row r="132" spans="2:8" ht="72.5" outlineLevel="1" collapsed="1" x14ac:dyDescent="0.35">
      <c r="B132" s="2"/>
      <c r="C132" s="77"/>
      <c r="D132" s="21" t="s">
        <v>924</v>
      </c>
      <c r="E132" s="21" t="s">
        <v>925</v>
      </c>
      <c r="F132" s="62"/>
      <c r="G132" s="26" t="s">
        <v>341</v>
      </c>
    </row>
    <row r="133" spans="2:8" ht="58" outlineLevel="1" x14ac:dyDescent="0.35">
      <c r="B133" s="2"/>
      <c r="C133" s="77"/>
      <c r="D133" s="21" t="s">
        <v>926</v>
      </c>
      <c r="E133" s="21" t="s">
        <v>1777</v>
      </c>
      <c r="F133" s="62"/>
      <c r="G133" s="26" t="s">
        <v>341</v>
      </c>
    </row>
    <row r="134" spans="2:8" outlineLevel="1" x14ac:dyDescent="0.35">
      <c r="B134" s="2"/>
      <c r="C134" s="77"/>
      <c r="D134" s="21" t="s">
        <v>1183</v>
      </c>
      <c r="E134" s="21" t="s">
        <v>947</v>
      </c>
      <c r="F134" s="62"/>
      <c r="G134" s="26" t="s">
        <v>341</v>
      </c>
    </row>
    <row r="135" spans="2:8" ht="29" outlineLevel="1" x14ac:dyDescent="0.35">
      <c r="B135" s="2"/>
      <c r="C135" s="77"/>
      <c r="D135" s="21" t="s">
        <v>928</v>
      </c>
      <c r="E135" s="21" t="s">
        <v>929</v>
      </c>
      <c r="F135" s="62"/>
      <c r="G135" s="26" t="s">
        <v>341</v>
      </c>
    </row>
    <row r="136" spans="2:8" ht="29" outlineLevel="1" x14ac:dyDescent="0.35">
      <c r="B136" s="2"/>
      <c r="C136" s="77"/>
      <c r="D136" s="21" t="s">
        <v>930</v>
      </c>
      <c r="E136" s="21" t="s">
        <v>931</v>
      </c>
      <c r="F136" s="62"/>
      <c r="G136" s="26" t="s">
        <v>341</v>
      </c>
    </row>
    <row r="137" spans="2:8" ht="58" outlineLevel="1" x14ac:dyDescent="0.35">
      <c r="B137" s="2"/>
      <c r="C137" s="77"/>
      <c r="D137" s="21" t="s">
        <v>932</v>
      </c>
      <c r="E137" s="21" t="s">
        <v>1796</v>
      </c>
      <c r="F137" s="62"/>
      <c r="G137" s="26" t="s">
        <v>341</v>
      </c>
    </row>
    <row r="138" spans="2:8" ht="58" outlineLevel="1" x14ac:dyDescent="0.35">
      <c r="B138" s="2"/>
      <c r="C138" s="77"/>
      <c r="D138" s="21" t="s">
        <v>933</v>
      </c>
      <c r="E138" s="21" t="s">
        <v>934</v>
      </c>
      <c r="F138" s="62"/>
      <c r="G138" s="26" t="s">
        <v>341</v>
      </c>
    </row>
    <row r="139" spans="2:8" x14ac:dyDescent="0.35">
      <c r="B139" s="2"/>
      <c r="C139" s="77"/>
      <c r="D139" s="75" t="s">
        <v>1364</v>
      </c>
      <c r="E139" s="2"/>
      <c r="F139" s="62"/>
      <c r="G139" s="88"/>
      <c r="H139" s="74"/>
    </row>
    <row r="140" spans="2:8" ht="43.5" outlineLevel="1" x14ac:dyDescent="0.35">
      <c r="B140" s="2"/>
      <c r="C140" s="77"/>
      <c r="D140" s="21" t="s">
        <v>927</v>
      </c>
      <c r="E140" s="21" t="s">
        <v>1499</v>
      </c>
      <c r="F140" s="62"/>
      <c r="G140" s="26" t="s">
        <v>341</v>
      </c>
    </row>
    <row r="141" spans="2:8" ht="29" outlineLevel="1" x14ac:dyDescent="0.35">
      <c r="B141" s="2"/>
      <c r="C141" s="77"/>
      <c r="D141" s="21" t="s">
        <v>935</v>
      </c>
      <c r="E141" s="21" t="s">
        <v>936</v>
      </c>
      <c r="F141" s="62"/>
      <c r="G141" s="26" t="s">
        <v>341</v>
      </c>
    </row>
    <row r="142" spans="2:8" x14ac:dyDescent="0.35">
      <c r="B142" s="77"/>
      <c r="C142" s="77" t="s">
        <v>5431</v>
      </c>
      <c r="D142" s="2"/>
      <c r="E142" s="2"/>
      <c r="G142" s="23">
        <f>COUNTIF(G144:G172,"Yes")</f>
        <v>25</v>
      </c>
    </row>
    <row r="143" spans="2:8" x14ac:dyDescent="0.35">
      <c r="B143" s="2"/>
      <c r="C143" s="77"/>
      <c r="D143" s="75" t="s">
        <v>5432</v>
      </c>
      <c r="E143" s="2"/>
      <c r="F143" s="62"/>
      <c r="G143" s="88"/>
    </row>
    <row r="144" spans="2:8" ht="29" outlineLevel="1" x14ac:dyDescent="0.35">
      <c r="B144" s="77"/>
      <c r="C144" s="2"/>
      <c r="D144" s="21" t="s">
        <v>5433</v>
      </c>
      <c r="E144" s="21" t="s">
        <v>5436</v>
      </c>
      <c r="G144" s="26" t="s">
        <v>341</v>
      </c>
    </row>
    <row r="145" spans="2:8" ht="29" outlineLevel="1" x14ac:dyDescent="0.35">
      <c r="B145" s="77"/>
      <c r="C145" s="2"/>
      <c r="D145" s="21" t="s">
        <v>5434</v>
      </c>
      <c r="E145" s="21" t="s">
        <v>5437</v>
      </c>
      <c r="G145" s="26" t="s">
        <v>341</v>
      </c>
    </row>
    <row r="146" spans="2:8" ht="29" outlineLevel="1" x14ac:dyDescent="0.35">
      <c r="B146" s="77"/>
      <c r="C146" s="2"/>
      <c r="D146" s="21" t="s">
        <v>5435</v>
      </c>
      <c r="E146" s="21" t="s">
        <v>5438</v>
      </c>
      <c r="G146" s="26" t="s">
        <v>341</v>
      </c>
    </row>
    <row r="147" spans="2:8" x14ac:dyDescent="0.35">
      <c r="B147" s="2"/>
      <c r="C147" s="77"/>
      <c r="D147" s="75" t="s">
        <v>5439</v>
      </c>
      <c r="E147" s="2"/>
      <c r="F147" s="62"/>
      <c r="G147" s="88"/>
      <c r="H147" s="74"/>
    </row>
    <row r="148" spans="2:8" ht="29" outlineLevel="1" x14ac:dyDescent="0.35">
      <c r="B148" s="2"/>
      <c r="C148" s="77"/>
      <c r="D148" s="21" t="s">
        <v>5440</v>
      </c>
      <c r="E148" s="21" t="s">
        <v>5448</v>
      </c>
      <c r="F148" s="62"/>
      <c r="G148" s="26" t="s">
        <v>341</v>
      </c>
      <c r="H148" s="74"/>
    </row>
    <row r="149" spans="2:8" ht="29" outlineLevel="1" x14ac:dyDescent="0.35">
      <c r="B149" s="2"/>
      <c r="C149" s="77"/>
      <c r="D149" s="21" t="s">
        <v>5441</v>
      </c>
      <c r="E149" s="21" t="s">
        <v>5449</v>
      </c>
      <c r="F149" s="62"/>
      <c r="G149" s="26" t="s">
        <v>341</v>
      </c>
      <c r="H149" s="74"/>
    </row>
    <row r="150" spans="2:8" ht="58" outlineLevel="1" x14ac:dyDescent="0.35">
      <c r="B150" s="2"/>
      <c r="C150" s="77"/>
      <c r="D150" s="21" t="s">
        <v>5442</v>
      </c>
      <c r="E150" s="21" t="s">
        <v>5450</v>
      </c>
      <c r="F150" s="62"/>
      <c r="G150" s="26" t="s">
        <v>341</v>
      </c>
      <c r="H150" s="74"/>
    </row>
    <row r="151" spans="2:8" ht="29" outlineLevel="1" x14ac:dyDescent="0.35">
      <c r="B151" s="2"/>
      <c r="C151" s="77"/>
      <c r="D151" s="21" t="s">
        <v>5443</v>
      </c>
      <c r="E151" s="21" t="s">
        <v>5451</v>
      </c>
      <c r="F151" s="62"/>
      <c r="G151" s="26" t="s">
        <v>341</v>
      </c>
      <c r="H151" s="74"/>
    </row>
    <row r="152" spans="2:8" ht="29" outlineLevel="1" x14ac:dyDescent="0.35">
      <c r="B152" s="2"/>
      <c r="C152" s="77"/>
      <c r="D152" s="21" t="s">
        <v>5444</v>
      </c>
      <c r="E152" s="21" t="s">
        <v>5452</v>
      </c>
      <c r="F152" s="62"/>
      <c r="G152" s="26" t="s">
        <v>341</v>
      </c>
      <c r="H152" s="74"/>
    </row>
    <row r="153" spans="2:8" ht="43.5" outlineLevel="1" x14ac:dyDescent="0.35">
      <c r="B153" s="2"/>
      <c r="C153" s="77"/>
      <c r="D153" s="21" t="s">
        <v>5445</v>
      </c>
      <c r="E153" s="21" t="s">
        <v>5453</v>
      </c>
      <c r="F153" s="62"/>
      <c r="G153" s="26" t="s">
        <v>341</v>
      </c>
      <c r="H153" s="74"/>
    </row>
    <row r="154" spans="2:8" outlineLevel="1" x14ac:dyDescent="0.35">
      <c r="B154" s="2"/>
      <c r="C154" s="77"/>
      <c r="D154" s="21" t="s">
        <v>5446</v>
      </c>
      <c r="E154" s="21" t="s">
        <v>5454</v>
      </c>
      <c r="F154" s="62"/>
      <c r="G154" s="26" t="s">
        <v>341</v>
      </c>
      <c r="H154" s="74"/>
    </row>
    <row r="155" spans="2:8" ht="29" outlineLevel="1" x14ac:dyDescent="0.35">
      <c r="B155" s="2"/>
      <c r="C155" s="77"/>
      <c r="D155" s="21" t="s">
        <v>5447</v>
      </c>
      <c r="E155" s="21" t="s">
        <v>5455</v>
      </c>
      <c r="F155" s="62"/>
      <c r="G155" s="26" t="s">
        <v>341</v>
      </c>
      <c r="H155" s="74"/>
    </row>
    <row r="156" spans="2:8" x14ac:dyDescent="0.35">
      <c r="B156" s="84"/>
      <c r="C156" s="85"/>
      <c r="D156" s="4" t="s">
        <v>5456</v>
      </c>
      <c r="E156" s="85"/>
      <c r="F156" s="62"/>
      <c r="G156" s="88"/>
    </row>
    <row r="157" spans="2:8" x14ac:dyDescent="0.35">
      <c r="B157" s="2"/>
      <c r="C157" s="77"/>
      <c r="D157" s="75" t="s">
        <v>5457</v>
      </c>
      <c r="E157" s="2"/>
      <c r="F157" s="62"/>
      <c r="G157" s="88"/>
      <c r="H157" s="74"/>
    </row>
    <row r="158" spans="2:8" outlineLevel="1" x14ac:dyDescent="0.35">
      <c r="B158" s="2"/>
      <c r="C158" s="77"/>
      <c r="D158" s="21" t="s">
        <v>5458</v>
      </c>
      <c r="E158" s="21" t="s">
        <v>5465</v>
      </c>
      <c r="F158" s="62"/>
      <c r="G158" s="26" t="s">
        <v>341</v>
      </c>
      <c r="H158" s="74"/>
    </row>
    <row r="159" spans="2:8" ht="43.5" outlineLevel="1" x14ac:dyDescent="0.35">
      <c r="B159" s="2"/>
      <c r="C159" s="77"/>
      <c r="D159" s="21" t="s">
        <v>5459</v>
      </c>
      <c r="E159" s="21" t="s">
        <v>5466</v>
      </c>
      <c r="F159" s="62"/>
      <c r="G159" s="26" t="s">
        <v>341</v>
      </c>
      <c r="H159" s="74"/>
    </row>
    <row r="160" spans="2:8" ht="29" outlineLevel="1" x14ac:dyDescent="0.35">
      <c r="B160" s="2"/>
      <c r="C160" s="77"/>
      <c r="D160" s="21" t="s">
        <v>5460</v>
      </c>
      <c r="E160" s="21" t="s">
        <v>5467</v>
      </c>
      <c r="F160" s="62"/>
      <c r="G160" s="26" t="s">
        <v>341</v>
      </c>
      <c r="H160" s="74"/>
    </row>
    <row r="161" spans="2:8" ht="29" outlineLevel="1" x14ac:dyDescent="0.35">
      <c r="B161" s="2"/>
      <c r="C161" s="77"/>
      <c r="D161" s="21" t="s">
        <v>5461</v>
      </c>
      <c r="E161" s="21" t="s">
        <v>5468</v>
      </c>
      <c r="F161" s="62"/>
      <c r="G161" s="26" t="s">
        <v>341</v>
      </c>
      <c r="H161" s="74"/>
    </row>
    <row r="162" spans="2:8" ht="72.5" outlineLevel="1" x14ac:dyDescent="0.35">
      <c r="B162" s="2"/>
      <c r="C162" s="77"/>
      <c r="D162" s="21" t="s">
        <v>5462</v>
      </c>
      <c r="E162" s="21" t="s">
        <v>5469</v>
      </c>
      <c r="F162" s="62"/>
      <c r="G162" s="26" t="s">
        <v>341</v>
      </c>
      <c r="H162" s="74"/>
    </row>
    <row r="163" spans="2:8" ht="43.5" outlineLevel="1" x14ac:dyDescent="0.35">
      <c r="B163" s="2"/>
      <c r="C163" s="77"/>
      <c r="D163" s="21" t="s">
        <v>5463</v>
      </c>
      <c r="E163" s="21" t="s">
        <v>5470</v>
      </c>
      <c r="F163" s="62"/>
      <c r="G163" s="26" t="s">
        <v>341</v>
      </c>
      <c r="H163" s="74"/>
    </row>
    <row r="164" spans="2:8" ht="87" outlineLevel="1" x14ac:dyDescent="0.35">
      <c r="B164" s="2"/>
      <c r="C164" s="77"/>
      <c r="D164" s="21" t="s">
        <v>5464</v>
      </c>
      <c r="E164" s="21" t="s">
        <v>5471</v>
      </c>
      <c r="F164" s="62"/>
      <c r="G164" s="26" t="s">
        <v>341</v>
      </c>
      <c r="H164" s="74"/>
    </row>
    <row r="165" spans="2:8" x14ac:dyDescent="0.35">
      <c r="B165" s="2"/>
      <c r="C165" s="77"/>
      <c r="D165" s="75" t="s">
        <v>5472</v>
      </c>
      <c r="E165" s="2"/>
      <c r="F165" s="62"/>
      <c r="G165" s="88"/>
      <c r="H165" s="74"/>
    </row>
    <row r="166" spans="2:8" ht="43.5" outlineLevel="1" x14ac:dyDescent="0.35">
      <c r="B166" s="2"/>
      <c r="C166" s="77"/>
      <c r="D166" s="21" t="s">
        <v>5473</v>
      </c>
      <c r="E166" s="21" t="s">
        <v>5480</v>
      </c>
      <c r="F166" s="62"/>
      <c r="G166" s="26" t="s">
        <v>341</v>
      </c>
      <c r="H166" s="74"/>
    </row>
    <row r="167" spans="2:8" ht="43.5" outlineLevel="1" x14ac:dyDescent="0.35">
      <c r="B167" s="2"/>
      <c r="C167" s="77"/>
      <c r="D167" s="21" t="s">
        <v>5474</v>
      </c>
      <c r="E167" s="21" t="s">
        <v>5481</v>
      </c>
      <c r="F167" s="62"/>
      <c r="G167" s="26" t="s">
        <v>341</v>
      </c>
      <c r="H167" s="74"/>
    </row>
    <row r="168" spans="2:8" ht="72.5" outlineLevel="1" x14ac:dyDescent="0.35">
      <c r="B168" s="2"/>
      <c r="C168" s="77"/>
      <c r="D168" s="21" t="s">
        <v>5475</v>
      </c>
      <c r="E168" s="21" t="s">
        <v>5482</v>
      </c>
      <c r="F168" s="62"/>
      <c r="G168" s="26" t="s">
        <v>341</v>
      </c>
      <c r="H168" s="74"/>
    </row>
    <row r="169" spans="2:8" ht="87" outlineLevel="1" x14ac:dyDescent="0.35">
      <c r="B169" s="2"/>
      <c r="C169" s="77"/>
      <c r="D169" s="21" t="s">
        <v>5476</v>
      </c>
      <c r="E169" s="21" t="s">
        <v>5483</v>
      </c>
      <c r="F169" s="62"/>
      <c r="G169" s="26" t="s">
        <v>341</v>
      </c>
      <c r="H169" s="74"/>
    </row>
    <row r="170" spans="2:8" ht="72.5" outlineLevel="1" x14ac:dyDescent="0.35">
      <c r="B170" s="2"/>
      <c r="C170" s="77"/>
      <c r="D170" s="21" t="s">
        <v>5477</v>
      </c>
      <c r="E170" s="21" t="s">
        <v>5484</v>
      </c>
      <c r="F170" s="62"/>
      <c r="G170" s="26" t="s">
        <v>341</v>
      </c>
      <c r="H170" s="74"/>
    </row>
    <row r="171" spans="2:8" ht="72.5" outlineLevel="1" x14ac:dyDescent="0.35">
      <c r="B171" s="2"/>
      <c r="C171" s="77"/>
      <c r="D171" s="21" t="s">
        <v>5478</v>
      </c>
      <c r="E171" s="21" t="s">
        <v>5485</v>
      </c>
      <c r="F171" s="62"/>
      <c r="G171" s="26" t="s">
        <v>341</v>
      </c>
      <c r="H171" s="74"/>
    </row>
    <row r="172" spans="2:8" ht="43.5" outlineLevel="1" x14ac:dyDescent="0.35">
      <c r="B172" s="2"/>
      <c r="C172" s="77"/>
      <c r="D172" s="21" t="s">
        <v>5479</v>
      </c>
      <c r="E172" s="21" t="s">
        <v>5486</v>
      </c>
      <c r="F172" s="62"/>
      <c r="G172" s="26" t="s">
        <v>341</v>
      </c>
      <c r="H172" s="74"/>
    </row>
    <row r="173" spans="2:8" x14ac:dyDescent="0.35">
      <c r="G173" s="133"/>
    </row>
    <row r="174" spans="2:8" x14ac:dyDescent="0.35">
      <c r="G174" s="133"/>
    </row>
    <row r="175" spans="2:8" x14ac:dyDescent="0.35">
      <c r="G175" s="133"/>
    </row>
    <row r="176" spans="2:8" x14ac:dyDescent="0.35">
      <c r="G176" s="133"/>
    </row>
    <row r="177" spans="7:7" x14ac:dyDescent="0.35">
      <c r="G177" s="133"/>
    </row>
    <row r="178" spans="7:7" x14ac:dyDescent="0.35">
      <c r="G178" s="133"/>
    </row>
    <row r="179" spans="7:7" x14ac:dyDescent="0.35">
      <c r="G179" s="133"/>
    </row>
    <row r="180" spans="7:7" x14ac:dyDescent="0.35">
      <c r="G180" s="133"/>
    </row>
    <row r="181" spans="7:7" x14ac:dyDescent="0.35">
      <c r="G181" s="133"/>
    </row>
    <row r="182" spans="7:7" x14ac:dyDescent="0.35">
      <c r="G182" s="133"/>
    </row>
    <row r="183" spans="7:7" x14ac:dyDescent="0.35">
      <c r="G183" s="133"/>
    </row>
    <row r="184" spans="7:7" x14ac:dyDescent="0.35">
      <c r="G184" s="133"/>
    </row>
    <row r="185" spans="7:7" x14ac:dyDescent="0.35">
      <c r="G185" s="133"/>
    </row>
    <row r="186" spans="7:7" x14ac:dyDescent="0.35">
      <c r="G186" s="133"/>
    </row>
    <row r="187" spans="7:7" x14ac:dyDescent="0.35">
      <c r="G187" s="133"/>
    </row>
    <row r="188" spans="7:7" x14ac:dyDescent="0.35">
      <c r="G188" s="133"/>
    </row>
    <row r="189" spans="7:7" x14ac:dyDescent="0.35">
      <c r="G189" s="8"/>
    </row>
    <row r="190" spans="7:7" x14ac:dyDescent="0.35">
      <c r="G190" s="8"/>
    </row>
    <row r="191" spans="7:7" x14ac:dyDescent="0.35">
      <c r="G191" s="8"/>
    </row>
    <row r="192" spans="7:7" x14ac:dyDescent="0.35">
      <c r="G192" s="8"/>
    </row>
    <row r="193" spans="7:7" x14ac:dyDescent="0.35">
      <c r="G193" s="8"/>
    </row>
    <row r="194" spans="7:7" x14ac:dyDescent="0.35">
      <c r="G194" s="116"/>
    </row>
    <row r="195" spans="7:7" x14ac:dyDescent="0.35">
      <c r="G195" s="8"/>
    </row>
    <row r="196" spans="7:7" x14ac:dyDescent="0.35">
      <c r="G196" s="116"/>
    </row>
    <row r="197" spans="7:7" x14ac:dyDescent="0.35">
      <c r="G197" s="8"/>
    </row>
    <row r="198" spans="7:7" x14ac:dyDescent="0.35">
      <c r="G198" s="8"/>
    </row>
    <row r="199" spans="7:7" x14ac:dyDescent="0.35">
      <c r="G199" s="8"/>
    </row>
    <row r="200" spans="7:7" x14ac:dyDescent="0.35">
      <c r="G200" s="8"/>
    </row>
    <row r="201" spans="7:7" x14ac:dyDescent="0.35">
      <c r="G201" s="8"/>
    </row>
    <row r="202" spans="7:7" x14ac:dyDescent="0.35">
      <c r="G202" s="8"/>
    </row>
    <row r="203" spans="7:7" x14ac:dyDescent="0.35">
      <c r="G203" s="8"/>
    </row>
    <row r="204" spans="7:7" x14ac:dyDescent="0.35">
      <c r="G204" s="116"/>
    </row>
    <row r="205" spans="7:7" x14ac:dyDescent="0.35">
      <c r="G205" s="8"/>
    </row>
    <row r="206" spans="7:7" x14ac:dyDescent="0.35">
      <c r="G206" s="8"/>
    </row>
    <row r="207" spans="7:7" x14ac:dyDescent="0.35">
      <c r="G207" s="8"/>
    </row>
    <row r="208" spans="7:7" x14ac:dyDescent="0.35">
      <c r="G208" s="116"/>
    </row>
    <row r="209" spans="7:7" x14ac:dyDescent="0.35">
      <c r="G209" s="8"/>
    </row>
    <row r="210" spans="7:7" x14ac:dyDescent="0.35">
      <c r="G210" s="8"/>
    </row>
    <row r="211" spans="7:7" x14ac:dyDescent="0.35">
      <c r="G211" s="8"/>
    </row>
    <row r="212" spans="7:7" x14ac:dyDescent="0.35">
      <c r="G212" s="8"/>
    </row>
    <row r="213" spans="7:7" x14ac:dyDescent="0.35">
      <c r="G213" s="8"/>
    </row>
    <row r="214" spans="7:7" x14ac:dyDescent="0.35">
      <c r="G214" s="115"/>
    </row>
    <row r="215" spans="7:7" x14ac:dyDescent="0.35">
      <c r="G215" s="116"/>
    </row>
    <row r="216" spans="7:7" x14ac:dyDescent="0.35">
      <c r="G216" s="8"/>
    </row>
    <row r="217" spans="7:7" x14ac:dyDescent="0.35">
      <c r="G217" s="116"/>
    </row>
    <row r="218" spans="7:7" x14ac:dyDescent="0.35">
      <c r="G218" s="8"/>
    </row>
    <row r="219" spans="7:7" x14ac:dyDescent="0.35">
      <c r="G219" s="8"/>
    </row>
    <row r="220" spans="7:7" x14ac:dyDescent="0.35">
      <c r="G220" s="116"/>
    </row>
    <row r="221" spans="7:7" x14ac:dyDescent="0.35">
      <c r="G221" s="8"/>
    </row>
    <row r="222" spans="7:7" x14ac:dyDescent="0.35">
      <c r="G222" s="8"/>
    </row>
    <row r="223" spans="7:7" x14ac:dyDescent="0.35">
      <c r="G223" s="90"/>
    </row>
    <row r="224" spans="7:7" x14ac:dyDescent="0.35">
      <c r="G224" s="90"/>
    </row>
    <row r="225" spans="7:7" x14ac:dyDescent="0.35">
      <c r="G225" s="90"/>
    </row>
    <row r="226" spans="7:7" x14ac:dyDescent="0.35">
      <c r="G226" s="90"/>
    </row>
    <row r="227" spans="7:7" x14ac:dyDescent="0.35">
      <c r="G227" s="90"/>
    </row>
    <row r="228" spans="7:7" x14ac:dyDescent="0.35">
      <c r="G228" s="90"/>
    </row>
    <row r="229" spans="7:7" x14ac:dyDescent="0.35">
      <c r="G229" s="90"/>
    </row>
    <row r="230" spans="7:7" x14ac:dyDescent="0.35">
      <c r="G230" s="90"/>
    </row>
  </sheetData>
  <sheetProtection formatCells="0" formatColumns="0" formatRows="0" insertColumns="0" insertRows="0" insertHyperlinks="0" deleteColumns="0" deleteRows="0" sort="0" autoFilter="0" pivotTables="0"/>
  <sortState xmlns:xlrd2="http://schemas.microsoft.com/office/spreadsheetml/2017/richdata2" ref="B138:BK139">
    <sortCondition ref="D138"/>
  </sortState>
  <mergeCells count="2">
    <mergeCell ref="B6:D6"/>
    <mergeCell ref="G3:G4"/>
  </mergeCells>
  <dataValidations count="1">
    <dataValidation type="list" allowBlank="1" showInputMessage="1" showErrorMessage="1" sqref="G189:G193 G195 G197:G203 G205:G207 G221:G222 G209:G213 G216 G218:G219 G140:G141 G148:G155 G129:G130 G96:G104 G31:G36 G132:G138 G38:G43 G53:G58 G107:G127 G85:G87 G45:G50 G78:G83 G71:G76 G89:G93 G60:G69 G10:G11 G14:G16 G18:G23 G25:G27 G144:G146 G158:G164 G166:G172" xr:uid="{00000000-0002-0000-0D00-000000000000}">
      <formula1>"Yes, No"</formula1>
    </dataValidation>
  </dataValidations>
  <pageMargins left="0.7" right="0.7" top="0.75" bottom="0.75" header="0.3" footer="0.3"/>
  <pageSetup orientation="portrait" horizontalDpi="1200" verticalDpi="1200" r:id="rId1"/>
  <ignoredErrors>
    <ignoredError sqref="G105" emptyCellReference="1"/>
  </ignoredError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293276"/>
  </sheetPr>
  <dimension ref="A1:CK334"/>
  <sheetViews>
    <sheetView showGridLines="0" zoomScale="80" zoomScaleNormal="80" workbookViewId="0">
      <selection activeCell="C2" sqref="C2"/>
    </sheetView>
  </sheetViews>
  <sheetFormatPr defaultColWidth="9.1796875" defaultRowHeight="14.5" outlineLevelRow="1" x14ac:dyDescent="0.35"/>
  <cols>
    <col min="1" max="1" width="2.1796875" style="79" customWidth="1"/>
    <col min="2" max="3" width="30.6328125" style="79" customWidth="1"/>
    <col min="4" max="4" width="63.6328125" style="96" customWidth="1"/>
    <col min="5" max="5" width="76.6328125" style="96" customWidth="1"/>
    <col min="6" max="6" width="2.1796875" style="79" customWidth="1"/>
    <col min="7" max="7" width="9.1796875" style="98" customWidth="1"/>
    <col min="8" max="16384" width="9.1796875" style="79"/>
  </cols>
  <sheetData>
    <row r="1" spans="1:89" s="58" customFormat="1" ht="18.5" customHeight="1" x14ac:dyDescent="0.35">
      <c r="B1" s="70"/>
      <c r="C1" s="69"/>
      <c r="D1" s="70"/>
      <c r="E1" s="79"/>
      <c r="F1" s="62"/>
      <c r="G1" s="79"/>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50"/>
      <c r="CA1" s="50"/>
      <c r="CB1" s="50"/>
      <c r="CC1" s="50"/>
      <c r="CD1" s="50"/>
      <c r="CE1" s="50"/>
      <c r="CF1" s="50"/>
      <c r="CG1" s="50"/>
      <c r="CH1" s="50"/>
      <c r="CI1" s="50"/>
      <c r="CJ1" s="50"/>
      <c r="CK1" s="50"/>
    </row>
    <row r="2" spans="1:89" s="58" customFormat="1" ht="14.5" customHeight="1" x14ac:dyDescent="0.35">
      <c r="A2" s="79"/>
      <c r="B2" s="193"/>
      <c r="C2" s="151"/>
      <c r="D2" s="11" t="s">
        <v>41</v>
      </c>
      <c r="E2" s="11" t="s">
        <v>5100</v>
      </c>
      <c r="F2" s="79"/>
      <c r="G2" s="13" t="s">
        <v>342</v>
      </c>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50"/>
      <c r="CE2" s="50"/>
      <c r="CF2" s="50"/>
      <c r="CG2" s="50"/>
      <c r="CH2" s="50"/>
      <c r="CI2" s="50"/>
      <c r="CJ2" s="50"/>
      <c r="CK2" s="50"/>
    </row>
    <row r="3" spans="1:89" s="58" customFormat="1" ht="14.5" customHeight="1" x14ac:dyDescent="0.35">
      <c r="A3" s="79"/>
      <c r="B3" s="193"/>
      <c r="C3" s="151"/>
      <c r="D3" s="11" t="s">
        <v>226</v>
      </c>
      <c r="E3" s="11">
        <f>COUNTIF(E8:E334,"*")</f>
        <v>268</v>
      </c>
      <c r="F3" s="79"/>
      <c r="G3" s="185">
        <f>COUNTIF(G8:G334,"Yes")</f>
        <v>268</v>
      </c>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50"/>
      <c r="BU3" s="50"/>
      <c r="BV3" s="50"/>
      <c r="BW3" s="50"/>
      <c r="BX3" s="50"/>
      <c r="BY3" s="50"/>
      <c r="BZ3" s="50"/>
      <c r="CA3" s="50"/>
      <c r="CB3" s="50"/>
      <c r="CC3" s="50"/>
      <c r="CD3" s="50"/>
      <c r="CE3" s="50"/>
      <c r="CF3" s="50"/>
      <c r="CG3" s="50"/>
      <c r="CH3" s="50"/>
      <c r="CI3" s="50"/>
      <c r="CJ3" s="50"/>
      <c r="CK3" s="50"/>
    </row>
    <row r="4" spans="1:89" s="58" customFormat="1" ht="14.5" customHeight="1" x14ac:dyDescent="0.35">
      <c r="A4" s="79"/>
      <c r="B4" s="193"/>
      <c r="C4" s="151"/>
      <c r="D4" s="15" t="s">
        <v>79</v>
      </c>
      <c r="E4" s="15" t="str">
        <f>'(10) Islamic Banking'!E4</f>
        <v>R25 Model Bank</v>
      </c>
      <c r="F4" s="79"/>
      <c r="G4" s="186"/>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c r="BO4" s="50"/>
      <c r="BP4" s="50"/>
      <c r="BQ4" s="50"/>
      <c r="BR4" s="50"/>
      <c r="BS4" s="50"/>
      <c r="BT4" s="50"/>
      <c r="BU4" s="50"/>
      <c r="BV4" s="50"/>
      <c r="BW4" s="50"/>
      <c r="BX4" s="50"/>
      <c r="BY4" s="50"/>
      <c r="BZ4" s="50"/>
      <c r="CA4" s="50"/>
      <c r="CB4" s="50"/>
      <c r="CC4" s="50"/>
      <c r="CD4" s="50"/>
      <c r="CE4" s="50"/>
      <c r="CF4" s="50"/>
      <c r="CG4" s="50"/>
      <c r="CH4" s="50"/>
      <c r="CI4" s="50"/>
      <c r="CJ4" s="50"/>
      <c r="CK4" s="50"/>
    </row>
    <row r="5" spans="1:89" ht="18.5" customHeight="1" x14ac:dyDescent="0.35">
      <c r="E5" s="121"/>
      <c r="G5" s="9"/>
    </row>
    <row r="6" spans="1:89" x14ac:dyDescent="0.35">
      <c r="B6" s="197"/>
      <c r="C6" s="198"/>
      <c r="D6" s="198"/>
      <c r="E6" s="122"/>
      <c r="G6" s="18" t="s">
        <v>340</v>
      </c>
      <c r="H6" s="74"/>
    </row>
    <row r="7" spans="1:89" x14ac:dyDescent="0.35">
      <c r="B7" s="75" t="s">
        <v>83</v>
      </c>
      <c r="C7" s="75" t="s">
        <v>86</v>
      </c>
      <c r="D7" s="75" t="s">
        <v>87</v>
      </c>
      <c r="E7" s="75" t="s">
        <v>54</v>
      </c>
      <c r="G7" s="76" t="s">
        <v>342</v>
      </c>
    </row>
    <row r="8" spans="1:89" x14ac:dyDescent="0.35">
      <c r="B8" s="77" t="s">
        <v>5100</v>
      </c>
      <c r="D8" s="77"/>
      <c r="E8" s="77"/>
      <c r="G8" s="88"/>
    </row>
    <row r="9" spans="1:89" x14ac:dyDescent="0.35">
      <c r="B9" s="77"/>
      <c r="C9" s="77" t="s">
        <v>2911</v>
      </c>
      <c r="D9" s="2"/>
      <c r="E9" s="2"/>
      <c r="G9" s="23">
        <f>COUNTIF(G11:G55,"Yes")</f>
        <v>34</v>
      </c>
    </row>
    <row r="10" spans="1:89" x14ac:dyDescent="0.35">
      <c r="B10" s="77"/>
      <c r="C10" s="77"/>
      <c r="D10" s="81" t="s">
        <v>1326</v>
      </c>
      <c r="E10" s="2"/>
      <c r="F10" s="62"/>
      <c r="G10" s="78"/>
    </row>
    <row r="11" spans="1:89" ht="72.5" outlineLevel="1" collapsed="1" x14ac:dyDescent="0.35">
      <c r="B11" s="77"/>
      <c r="C11" s="77"/>
      <c r="D11" s="2" t="s">
        <v>1327</v>
      </c>
      <c r="E11" s="2" t="s">
        <v>3910</v>
      </c>
      <c r="G11" s="26" t="s">
        <v>341</v>
      </c>
    </row>
    <row r="12" spans="1:89" ht="58" outlineLevel="1" x14ac:dyDescent="0.35">
      <c r="B12" s="77"/>
      <c r="C12" s="77"/>
      <c r="D12" s="2" t="s">
        <v>1328</v>
      </c>
      <c r="E12" s="2" t="s">
        <v>3915</v>
      </c>
      <c r="G12" s="26" t="s">
        <v>341</v>
      </c>
    </row>
    <row r="13" spans="1:89" ht="29" outlineLevel="1" x14ac:dyDescent="0.35">
      <c r="B13" s="77"/>
      <c r="C13" s="77"/>
      <c r="D13" s="25" t="s">
        <v>2540</v>
      </c>
      <c r="E13" s="25" t="s">
        <v>297</v>
      </c>
      <c r="G13" s="26" t="s">
        <v>341</v>
      </c>
    </row>
    <row r="14" spans="1:89" ht="130.5" outlineLevel="1" x14ac:dyDescent="0.35">
      <c r="B14" s="77"/>
      <c r="C14" s="77"/>
      <c r="D14" s="25" t="s">
        <v>5368</v>
      </c>
      <c r="E14" s="25" t="s">
        <v>5334</v>
      </c>
      <c r="G14" s="26" t="s">
        <v>341</v>
      </c>
    </row>
    <row r="15" spans="1:89" ht="145" outlineLevel="1" x14ac:dyDescent="0.35">
      <c r="B15" s="77"/>
      <c r="C15" s="77"/>
      <c r="D15" s="25" t="s">
        <v>5369</v>
      </c>
      <c r="E15" s="25" t="s">
        <v>5335</v>
      </c>
      <c r="G15" s="26" t="s">
        <v>341</v>
      </c>
    </row>
    <row r="16" spans="1:89" ht="101.5" outlineLevel="1" x14ac:dyDescent="0.35">
      <c r="B16" s="77"/>
      <c r="C16" s="77"/>
      <c r="D16" s="25" t="s">
        <v>5370</v>
      </c>
      <c r="E16" s="25" t="s">
        <v>5324</v>
      </c>
      <c r="G16" s="26" t="s">
        <v>341</v>
      </c>
    </row>
    <row r="17" spans="2:7" ht="87" outlineLevel="1" x14ac:dyDescent="0.35">
      <c r="B17" s="77"/>
      <c r="C17" s="77"/>
      <c r="D17" s="25" t="s">
        <v>5371</v>
      </c>
      <c r="E17" s="25" t="s">
        <v>5325</v>
      </c>
      <c r="G17" s="26" t="s">
        <v>341</v>
      </c>
    </row>
    <row r="18" spans="2:7" ht="87" outlineLevel="1" x14ac:dyDescent="0.35">
      <c r="B18" s="77"/>
      <c r="C18" s="77"/>
      <c r="D18" s="25" t="s">
        <v>2541</v>
      </c>
      <c r="E18" s="25" t="s">
        <v>3979</v>
      </c>
      <c r="G18" s="26" t="s">
        <v>341</v>
      </c>
    </row>
    <row r="19" spans="2:7" ht="43.5" outlineLevel="1" x14ac:dyDescent="0.35">
      <c r="B19" s="77"/>
      <c r="C19" s="77"/>
      <c r="D19" s="2" t="s">
        <v>2542</v>
      </c>
      <c r="E19" s="2" t="s">
        <v>616</v>
      </c>
      <c r="G19" s="26" t="s">
        <v>341</v>
      </c>
    </row>
    <row r="20" spans="2:7" ht="72.5" outlineLevel="1" x14ac:dyDescent="0.35">
      <c r="B20" s="77"/>
      <c r="C20" s="77"/>
      <c r="D20" s="25" t="s">
        <v>4121</v>
      </c>
      <c r="E20" s="25" t="s">
        <v>2622</v>
      </c>
      <c r="G20" s="26" t="s">
        <v>341</v>
      </c>
    </row>
    <row r="21" spans="2:7" x14ac:dyDescent="0.35">
      <c r="B21" s="77"/>
      <c r="C21" s="77"/>
      <c r="D21" s="81" t="s">
        <v>1329</v>
      </c>
      <c r="E21" s="2"/>
      <c r="F21" s="62"/>
      <c r="G21" s="78"/>
    </row>
    <row r="22" spans="2:7" ht="101.5" outlineLevel="1" x14ac:dyDescent="0.35">
      <c r="B22" s="77"/>
      <c r="C22" s="77"/>
      <c r="D22" s="2" t="s">
        <v>5092</v>
      </c>
      <c r="E22" s="2" t="s">
        <v>5093</v>
      </c>
      <c r="G22" s="26" t="s">
        <v>341</v>
      </c>
    </row>
    <row r="23" spans="2:7" ht="58" outlineLevel="1" x14ac:dyDescent="0.35">
      <c r="B23" s="77"/>
      <c r="C23" s="77"/>
      <c r="D23" s="2" t="s">
        <v>5096</v>
      </c>
      <c r="E23" s="2" t="s">
        <v>5097</v>
      </c>
      <c r="G23" s="26" t="s">
        <v>341</v>
      </c>
    </row>
    <row r="24" spans="2:7" ht="29" outlineLevel="1" x14ac:dyDescent="0.35">
      <c r="B24" s="77"/>
      <c r="C24" s="77"/>
      <c r="D24" s="2" t="s">
        <v>5094</v>
      </c>
      <c r="E24" s="2" t="s">
        <v>5095</v>
      </c>
      <c r="G24" s="26" t="s">
        <v>341</v>
      </c>
    </row>
    <row r="25" spans="2:7" x14ac:dyDescent="0.35">
      <c r="B25" s="77"/>
      <c r="C25" s="77"/>
      <c r="D25" s="81" t="s">
        <v>3647</v>
      </c>
      <c r="E25" s="2"/>
      <c r="F25" s="62"/>
      <c r="G25" s="78"/>
    </row>
    <row r="26" spans="2:7" ht="43.5" outlineLevel="1" x14ac:dyDescent="0.35">
      <c r="B26" s="77"/>
      <c r="C26" s="77"/>
      <c r="D26" s="2" t="s">
        <v>3648</v>
      </c>
      <c r="E26" s="2" t="s">
        <v>3941</v>
      </c>
      <c r="G26" s="26" t="s">
        <v>341</v>
      </c>
    </row>
    <row r="27" spans="2:7" ht="43.5" outlineLevel="1" x14ac:dyDescent="0.35">
      <c r="B27" s="77"/>
      <c r="C27" s="77"/>
      <c r="D27" s="2" t="s">
        <v>3649</v>
      </c>
      <c r="E27" s="2" t="s">
        <v>1681</v>
      </c>
      <c r="G27" s="26" t="s">
        <v>341</v>
      </c>
    </row>
    <row r="28" spans="2:7" ht="72.5" outlineLevel="1" x14ac:dyDescent="0.35">
      <c r="B28" s="77"/>
      <c r="C28" s="77"/>
      <c r="D28" s="2" t="s">
        <v>3650</v>
      </c>
      <c r="E28" s="2" t="s">
        <v>1502</v>
      </c>
      <c r="G28" s="26" t="s">
        <v>341</v>
      </c>
    </row>
    <row r="29" spans="2:7" ht="87" outlineLevel="1" x14ac:dyDescent="0.35">
      <c r="B29" s="77"/>
      <c r="C29" s="77"/>
      <c r="D29" s="2" t="s">
        <v>3651</v>
      </c>
      <c r="E29" s="2" t="s">
        <v>3995</v>
      </c>
      <c r="G29" s="26" t="s">
        <v>341</v>
      </c>
    </row>
    <row r="30" spans="2:7" ht="72.5" outlineLevel="1" x14ac:dyDescent="0.35">
      <c r="B30" s="77"/>
      <c r="C30" s="77"/>
      <c r="D30" s="2" t="s">
        <v>3652</v>
      </c>
      <c r="E30" s="2" t="s">
        <v>1503</v>
      </c>
      <c r="G30" s="26" t="s">
        <v>341</v>
      </c>
    </row>
    <row r="31" spans="2:7" x14ac:dyDescent="0.35">
      <c r="B31" s="77"/>
      <c r="C31" s="77"/>
      <c r="D31" s="81" t="s">
        <v>4632</v>
      </c>
      <c r="E31" s="2"/>
      <c r="F31" s="62"/>
      <c r="G31" s="78"/>
    </row>
    <row r="32" spans="2:7" ht="62.5" customHeight="1" outlineLevel="1" x14ac:dyDescent="0.35">
      <c r="B32" s="77"/>
      <c r="C32" s="77"/>
      <c r="D32" s="2" t="s">
        <v>4490</v>
      </c>
      <c r="E32" s="2" t="s">
        <v>4491</v>
      </c>
      <c r="G32" s="26" t="s">
        <v>341</v>
      </c>
    </row>
    <row r="33" spans="2:7" x14ac:dyDescent="0.35">
      <c r="B33" s="77"/>
      <c r="C33" s="77"/>
      <c r="D33" s="81" t="s">
        <v>4492</v>
      </c>
      <c r="E33" s="2"/>
      <c r="F33" s="62"/>
      <c r="G33" s="78"/>
    </row>
    <row r="34" spans="2:7" ht="87" outlineLevel="1" x14ac:dyDescent="0.35">
      <c r="B34" s="77"/>
      <c r="C34" s="77"/>
      <c r="D34" s="2" t="s">
        <v>4633</v>
      </c>
      <c r="E34" s="2" t="s">
        <v>4493</v>
      </c>
      <c r="G34" s="26" t="s">
        <v>341</v>
      </c>
    </row>
    <row r="35" spans="2:7" x14ac:dyDescent="0.35">
      <c r="B35" s="77"/>
      <c r="C35" s="77"/>
      <c r="D35" s="81" t="s">
        <v>4494</v>
      </c>
      <c r="E35" s="2"/>
      <c r="F35" s="62"/>
      <c r="G35" s="78"/>
    </row>
    <row r="36" spans="2:7" ht="93" outlineLevel="1" x14ac:dyDescent="0.35">
      <c r="B36" s="77"/>
      <c r="C36" s="77"/>
      <c r="D36" s="174" t="s">
        <v>4495</v>
      </c>
      <c r="E36" s="174" t="s">
        <v>4497</v>
      </c>
      <c r="G36" s="26" t="s">
        <v>341</v>
      </c>
    </row>
    <row r="37" spans="2:7" ht="108.5" outlineLevel="1" x14ac:dyDescent="0.35">
      <c r="B37" s="77"/>
      <c r="C37" s="77"/>
      <c r="D37" s="174" t="s">
        <v>4496</v>
      </c>
      <c r="E37" s="174" t="s">
        <v>4498</v>
      </c>
      <c r="G37" s="26" t="s">
        <v>341</v>
      </c>
    </row>
    <row r="38" spans="2:7" x14ac:dyDescent="0.35">
      <c r="B38" s="77"/>
      <c r="C38" s="77"/>
      <c r="D38" s="81" t="s">
        <v>4805</v>
      </c>
      <c r="E38" s="2"/>
      <c r="F38" s="62"/>
      <c r="G38" s="78"/>
    </row>
    <row r="39" spans="2:7" ht="29" outlineLevel="1" x14ac:dyDescent="0.35">
      <c r="B39" s="77"/>
      <c r="C39" s="77"/>
      <c r="D39" s="2" t="s">
        <v>4934</v>
      </c>
      <c r="E39" s="2" t="s">
        <v>4806</v>
      </c>
      <c r="G39" s="26" t="s">
        <v>341</v>
      </c>
    </row>
    <row r="40" spans="2:7" ht="72.5" outlineLevel="1" x14ac:dyDescent="0.35">
      <c r="B40" s="77"/>
      <c r="C40" s="77"/>
      <c r="D40" s="2" t="s">
        <v>4810</v>
      </c>
      <c r="E40" s="2" t="s">
        <v>4807</v>
      </c>
      <c r="G40" s="26" t="s">
        <v>341</v>
      </c>
    </row>
    <row r="41" spans="2:7" ht="29" outlineLevel="1" x14ac:dyDescent="0.35">
      <c r="B41" s="77"/>
      <c r="C41" s="77"/>
      <c r="D41" s="2" t="s">
        <v>4811</v>
      </c>
      <c r="E41" s="2" t="s">
        <v>4808</v>
      </c>
      <c r="G41" s="26" t="s">
        <v>341</v>
      </c>
    </row>
    <row r="42" spans="2:7" ht="29" outlineLevel="1" x14ac:dyDescent="0.35">
      <c r="B42" s="77"/>
      <c r="C42" s="77"/>
      <c r="D42" s="2" t="s">
        <v>4812</v>
      </c>
      <c r="E42" s="2" t="s">
        <v>4809</v>
      </c>
      <c r="G42" s="26" t="s">
        <v>341</v>
      </c>
    </row>
    <row r="43" spans="2:7" x14ac:dyDescent="0.35">
      <c r="B43" s="77"/>
      <c r="C43" s="77"/>
      <c r="D43" s="81" t="s">
        <v>4962</v>
      </c>
      <c r="E43" s="2"/>
      <c r="F43" s="62"/>
      <c r="G43" s="78"/>
    </row>
    <row r="44" spans="2:7" ht="72.5" outlineLevel="1" x14ac:dyDescent="0.35">
      <c r="B44" s="77"/>
      <c r="C44" s="77"/>
      <c r="D44" s="2" t="s">
        <v>4964</v>
      </c>
      <c r="E44" s="2" t="s">
        <v>4963</v>
      </c>
      <c r="G44" s="26" t="s">
        <v>341</v>
      </c>
    </row>
    <row r="45" spans="2:7" ht="43.5" outlineLevel="1" x14ac:dyDescent="0.35">
      <c r="B45" s="77"/>
      <c r="C45" s="77"/>
      <c r="D45" s="2" t="s">
        <v>5085</v>
      </c>
      <c r="E45" s="2" t="s">
        <v>5086</v>
      </c>
      <c r="G45" s="26" t="s">
        <v>341</v>
      </c>
    </row>
    <row r="46" spans="2:7" x14ac:dyDescent="0.35">
      <c r="B46" s="77"/>
      <c r="C46" s="77"/>
      <c r="D46" s="81" t="s">
        <v>5089</v>
      </c>
      <c r="E46" s="2"/>
      <c r="F46" s="62"/>
      <c r="G46" s="78"/>
    </row>
    <row r="47" spans="2:7" ht="159.5" outlineLevel="1" x14ac:dyDescent="0.35">
      <c r="B47" s="77"/>
      <c r="C47" s="77"/>
      <c r="D47" s="2" t="s">
        <v>5090</v>
      </c>
      <c r="E47" s="2" t="s">
        <v>5091</v>
      </c>
      <c r="G47" s="26" t="s">
        <v>341</v>
      </c>
    </row>
    <row r="48" spans="2:7" x14ac:dyDescent="0.35">
      <c r="B48" s="77"/>
      <c r="C48" s="77"/>
      <c r="D48" s="81" t="s">
        <v>5277</v>
      </c>
      <c r="E48" s="2"/>
      <c r="F48" s="62"/>
      <c r="G48" s="78"/>
    </row>
    <row r="49" spans="2:7" ht="29" outlineLevel="1" x14ac:dyDescent="0.35">
      <c r="B49" s="77"/>
      <c r="C49" s="77"/>
      <c r="D49" s="2" t="s">
        <v>5278</v>
      </c>
      <c r="E49" s="2" t="s">
        <v>5280</v>
      </c>
      <c r="G49" s="26" t="s">
        <v>341</v>
      </c>
    </row>
    <row r="50" spans="2:7" outlineLevel="1" x14ac:dyDescent="0.35">
      <c r="B50" s="77"/>
      <c r="C50" s="77"/>
      <c r="D50" s="2" t="s">
        <v>5279</v>
      </c>
      <c r="E50" s="2" t="s">
        <v>5281</v>
      </c>
      <c r="G50" s="26" t="s">
        <v>341</v>
      </c>
    </row>
    <row r="51" spans="2:7" x14ac:dyDescent="0.35">
      <c r="B51" s="77"/>
      <c r="C51" s="77"/>
      <c r="D51" s="81" t="s">
        <v>5310</v>
      </c>
      <c r="E51" s="2"/>
      <c r="F51" s="62"/>
      <c r="G51" s="78"/>
    </row>
    <row r="52" spans="2:7" ht="58" outlineLevel="1" x14ac:dyDescent="0.35">
      <c r="B52" s="77"/>
      <c r="C52" s="77"/>
      <c r="D52" s="2" t="s">
        <v>5311</v>
      </c>
      <c r="E52" s="2" t="s">
        <v>5313</v>
      </c>
      <c r="G52" s="26" t="s">
        <v>341</v>
      </c>
    </row>
    <row r="53" spans="2:7" ht="29" outlineLevel="1" x14ac:dyDescent="0.35">
      <c r="B53" s="77"/>
      <c r="C53" s="77"/>
      <c r="D53" s="2" t="s">
        <v>5312</v>
      </c>
      <c r="E53" s="2" t="s">
        <v>5314</v>
      </c>
      <c r="G53" s="26" t="s">
        <v>341</v>
      </c>
    </row>
    <row r="54" spans="2:7" x14ac:dyDescent="0.35">
      <c r="B54" s="77"/>
      <c r="C54" s="77"/>
      <c r="D54" s="81" t="s">
        <v>5315</v>
      </c>
      <c r="E54" s="2"/>
      <c r="F54" s="62"/>
      <c r="G54" s="78"/>
    </row>
    <row r="55" spans="2:7" ht="29" outlineLevel="1" x14ac:dyDescent="0.35">
      <c r="B55" s="77"/>
      <c r="C55" s="77"/>
      <c r="D55" s="2" t="s">
        <v>5317</v>
      </c>
      <c r="E55" s="2" t="s">
        <v>5316</v>
      </c>
      <c r="G55" s="26" t="s">
        <v>341</v>
      </c>
    </row>
    <row r="56" spans="2:7" x14ac:dyDescent="0.35">
      <c r="B56" s="77"/>
      <c r="C56" s="77" t="s">
        <v>2052</v>
      </c>
      <c r="D56" s="77"/>
      <c r="E56" s="77"/>
      <c r="G56" s="23">
        <f>COUNTIF(G58:G141,"Yes")</f>
        <v>79</v>
      </c>
    </row>
    <row r="57" spans="2:7" x14ac:dyDescent="0.35">
      <c r="B57" s="77"/>
      <c r="C57" s="77"/>
      <c r="D57" s="81" t="s">
        <v>2081</v>
      </c>
      <c r="E57" s="77"/>
      <c r="G57" s="78"/>
    </row>
    <row r="58" spans="2:7" ht="43.5" outlineLevel="1" x14ac:dyDescent="0.35">
      <c r="B58" s="77"/>
      <c r="C58" s="77"/>
      <c r="D58" s="2" t="s">
        <v>2053</v>
      </c>
      <c r="E58" s="2" t="s">
        <v>2054</v>
      </c>
      <c r="G58" s="26" t="s">
        <v>341</v>
      </c>
    </row>
    <row r="59" spans="2:7" outlineLevel="1" x14ac:dyDescent="0.35">
      <c r="B59" s="77"/>
      <c r="C59" s="77"/>
      <c r="D59" s="2" t="s">
        <v>2055</v>
      </c>
      <c r="E59" s="2" t="s">
        <v>2056</v>
      </c>
      <c r="F59" s="62"/>
      <c r="G59" s="26" t="s">
        <v>341</v>
      </c>
    </row>
    <row r="60" spans="2:7" outlineLevel="1" x14ac:dyDescent="0.35">
      <c r="B60" s="77"/>
      <c r="C60" s="77"/>
      <c r="D60" s="2" t="s">
        <v>2057</v>
      </c>
      <c r="E60" s="2" t="s">
        <v>4450</v>
      </c>
      <c r="F60" s="62"/>
      <c r="G60" s="26" t="s">
        <v>341</v>
      </c>
    </row>
    <row r="61" spans="2:7" ht="29" outlineLevel="1" x14ac:dyDescent="0.35">
      <c r="B61" s="77"/>
      <c r="C61" s="77"/>
      <c r="D61" s="2" t="s">
        <v>3641</v>
      </c>
      <c r="E61" s="2" t="s">
        <v>2058</v>
      </c>
      <c r="F61" s="62"/>
      <c r="G61" s="26" t="s">
        <v>341</v>
      </c>
    </row>
    <row r="62" spans="2:7" ht="29" outlineLevel="1" x14ac:dyDescent="0.35">
      <c r="B62" s="77"/>
      <c r="C62" s="77"/>
      <c r="D62" s="2" t="s">
        <v>2173</v>
      </c>
      <c r="E62" s="2" t="s">
        <v>2174</v>
      </c>
      <c r="F62" s="62"/>
      <c r="G62" s="26" t="s">
        <v>341</v>
      </c>
    </row>
    <row r="63" spans="2:7" ht="87" outlineLevel="1" x14ac:dyDescent="0.35">
      <c r="B63" s="77"/>
      <c r="C63" s="77"/>
      <c r="D63" s="2" t="s">
        <v>2172</v>
      </c>
      <c r="E63" s="2" t="s">
        <v>3976</v>
      </c>
      <c r="F63" s="62"/>
      <c r="G63" s="26" t="s">
        <v>341</v>
      </c>
    </row>
    <row r="64" spans="2:7" ht="72.5" customHeight="1" outlineLevel="1" x14ac:dyDescent="0.35">
      <c r="B64" s="77"/>
      <c r="C64" s="77"/>
      <c r="D64" s="2" t="s">
        <v>2149</v>
      </c>
      <c r="E64" s="2" t="s">
        <v>3976</v>
      </c>
      <c r="F64" s="62"/>
      <c r="G64" s="26" t="s">
        <v>341</v>
      </c>
    </row>
    <row r="65" spans="2:7" ht="43.5" outlineLevel="1" x14ac:dyDescent="0.35">
      <c r="B65" s="77"/>
      <c r="C65" s="77"/>
      <c r="D65" s="2" t="s">
        <v>2150</v>
      </c>
      <c r="E65" s="2" t="s">
        <v>2151</v>
      </c>
      <c r="F65" s="62"/>
      <c r="G65" s="26" t="s">
        <v>341</v>
      </c>
    </row>
    <row r="66" spans="2:7" ht="43.5" outlineLevel="1" x14ac:dyDescent="0.35">
      <c r="B66" s="77"/>
      <c r="C66" s="77"/>
      <c r="D66" s="2" t="s">
        <v>3653</v>
      </c>
      <c r="E66" s="2" t="s">
        <v>2152</v>
      </c>
      <c r="F66" s="62"/>
      <c r="G66" s="26" t="s">
        <v>341</v>
      </c>
    </row>
    <row r="67" spans="2:7" ht="29" outlineLevel="1" x14ac:dyDescent="0.35">
      <c r="B67" s="77"/>
      <c r="C67" s="77"/>
      <c r="D67" s="2" t="s">
        <v>2147</v>
      </c>
      <c r="E67" s="2" t="s">
        <v>2148</v>
      </c>
      <c r="F67" s="62"/>
      <c r="G67" s="26" t="s">
        <v>341</v>
      </c>
    </row>
    <row r="68" spans="2:7" ht="29" outlineLevel="1" x14ac:dyDescent="0.35">
      <c r="B68" s="77"/>
      <c r="C68" s="77"/>
      <c r="D68" s="2" t="s">
        <v>2059</v>
      </c>
      <c r="E68" s="2" t="s">
        <v>2060</v>
      </c>
      <c r="F68" s="62"/>
      <c r="G68" s="26" t="s">
        <v>341</v>
      </c>
    </row>
    <row r="69" spans="2:7" x14ac:dyDescent="0.35">
      <c r="B69" s="77"/>
      <c r="C69" s="77"/>
      <c r="D69" s="81" t="s">
        <v>2082</v>
      </c>
      <c r="E69" s="77"/>
      <c r="F69" s="62"/>
      <c r="G69" s="78"/>
    </row>
    <row r="70" spans="2:7" ht="29" outlineLevel="1" x14ac:dyDescent="0.35">
      <c r="B70" s="77"/>
      <c r="C70" s="77"/>
      <c r="D70" s="2" t="s">
        <v>2062</v>
      </c>
      <c r="E70" s="2" t="s">
        <v>2067</v>
      </c>
      <c r="F70" s="62"/>
      <c r="G70" s="26" t="s">
        <v>341</v>
      </c>
    </row>
    <row r="71" spans="2:7" ht="29" outlineLevel="1" x14ac:dyDescent="0.35">
      <c r="B71" s="77"/>
      <c r="C71" s="77"/>
      <c r="D71" s="2" t="s">
        <v>2814</v>
      </c>
      <c r="E71" s="2" t="s">
        <v>2430</v>
      </c>
      <c r="F71" s="62"/>
      <c r="G71" s="26" t="s">
        <v>341</v>
      </c>
    </row>
    <row r="72" spans="2:7" ht="29" outlineLevel="1" x14ac:dyDescent="0.35">
      <c r="B72" s="77"/>
      <c r="C72" s="77"/>
      <c r="D72" s="2" t="s">
        <v>2423</v>
      </c>
      <c r="E72" s="2" t="s">
        <v>2431</v>
      </c>
      <c r="F72" s="62"/>
      <c r="G72" s="26" t="s">
        <v>341</v>
      </c>
    </row>
    <row r="73" spans="2:7" ht="43.5" outlineLevel="1" x14ac:dyDescent="0.35">
      <c r="B73" s="77"/>
      <c r="C73" s="77"/>
      <c r="D73" s="2" t="s">
        <v>2424</v>
      </c>
      <c r="E73" s="2" t="s">
        <v>2432</v>
      </c>
      <c r="F73" s="62"/>
      <c r="G73" s="26" t="s">
        <v>341</v>
      </c>
    </row>
    <row r="74" spans="2:7" ht="43.5" outlineLevel="1" x14ac:dyDescent="0.35">
      <c r="B74" s="77"/>
      <c r="C74" s="77"/>
      <c r="D74" s="2" t="s">
        <v>2425</v>
      </c>
      <c r="E74" s="2" t="s">
        <v>2433</v>
      </c>
      <c r="F74" s="62"/>
      <c r="G74" s="26" t="s">
        <v>341</v>
      </c>
    </row>
    <row r="75" spans="2:7" ht="43.5" outlineLevel="1" x14ac:dyDescent="0.35">
      <c r="B75" s="77"/>
      <c r="C75" s="77"/>
      <c r="D75" s="2" t="s">
        <v>2426</v>
      </c>
      <c r="E75" s="2" t="s">
        <v>2434</v>
      </c>
      <c r="F75" s="62"/>
      <c r="G75" s="26" t="s">
        <v>341</v>
      </c>
    </row>
    <row r="76" spans="2:7" ht="29" outlineLevel="1" x14ac:dyDescent="0.35">
      <c r="B76" s="77"/>
      <c r="C76" s="77"/>
      <c r="D76" s="2" t="s">
        <v>2427</v>
      </c>
      <c r="E76" s="2" t="s">
        <v>2435</v>
      </c>
      <c r="F76" s="62"/>
      <c r="G76" s="26" t="s">
        <v>341</v>
      </c>
    </row>
    <row r="77" spans="2:7" ht="29" outlineLevel="1" x14ac:dyDescent="0.35">
      <c r="B77" s="77"/>
      <c r="C77" s="77"/>
      <c r="D77" s="2" t="s">
        <v>2428</v>
      </c>
      <c r="E77" s="2" t="s">
        <v>2436</v>
      </c>
      <c r="F77" s="62"/>
      <c r="G77" s="26" t="s">
        <v>341</v>
      </c>
    </row>
    <row r="78" spans="2:7" ht="29" outlineLevel="1" x14ac:dyDescent="0.35">
      <c r="B78" s="77"/>
      <c r="C78" s="77"/>
      <c r="D78" s="2" t="s">
        <v>2429</v>
      </c>
      <c r="E78" s="2" t="s">
        <v>2437</v>
      </c>
      <c r="F78" s="62"/>
      <c r="G78" s="26" t="s">
        <v>341</v>
      </c>
    </row>
    <row r="79" spans="2:7" ht="29" outlineLevel="1" x14ac:dyDescent="0.35">
      <c r="B79" s="77"/>
      <c r="C79" s="77"/>
      <c r="D79" s="2" t="s">
        <v>2063</v>
      </c>
      <c r="E79" s="2" t="s">
        <v>2068</v>
      </c>
      <c r="F79" s="62"/>
      <c r="G79" s="26" t="s">
        <v>341</v>
      </c>
    </row>
    <row r="80" spans="2:7" ht="29" outlineLevel="1" x14ac:dyDescent="0.35">
      <c r="B80" s="77"/>
      <c r="C80" s="77"/>
      <c r="D80" s="2" t="s">
        <v>2255</v>
      </c>
      <c r="E80" s="2" t="s">
        <v>2256</v>
      </c>
      <c r="F80" s="62"/>
      <c r="G80" s="26" t="s">
        <v>341</v>
      </c>
    </row>
    <row r="81" spans="2:7" ht="29" outlineLevel="1" x14ac:dyDescent="0.35">
      <c r="B81" s="77"/>
      <c r="C81" s="77"/>
      <c r="D81" s="2" t="s">
        <v>2080</v>
      </c>
      <c r="E81" s="2" t="s">
        <v>2456</v>
      </c>
      <c r="F81" s="62"/>
      <c r="G81" s="26" t="s">
        <v>341</v>
      </c>
    </row>
    <row r="82" spans="2:7" ht="29" outlineLevel="1" x14ac:dyDescent="0.35">
      <c r="B82" s="77"/>
      <c r="C82" s="77"/>
      <c r="D82" s="2" t="s">
        <v>2061</v>
      </c>
      <c r="E82" s="2" t="s">
        <v>2066</v>
      </c>
      <c r="F82" s="62"/>
      <c r="G82" s="26" t="s">
        <v>341</v>
      </c>
    </row>
    <row r="83" spans="2:7" ht="29" outlineLevel="1" x14ac:dyDescent="0.35">
      <c r="B83" s="77"/>
      <c r="C83" s="77"/>
      <c r="D83" s="2" t="s">
        <v>2332</v>
      </c>
      <c r="E83" s="2" t="s">
        <v>2333</v>
      </c>
      <c r="F83" s="62"/>
      <c r="G83" s="26" t="s">
        <v>341</v>
      </c>
    </row>
    <row r="84" spans="2:7" ht="29" outlineLevel="1" x14ac:dyDescent="0.35">
      <c r="B84" s="77"/>
      <c r="C84" s="77"/>
      <c r="D84" s="2" t="s">
        <v>2065</v>
      </c>
      <c r="E84" s="2" t="s">
        <v>1203</v>
      </c>
      <c r="F84" s="62"/>
      <c r="G84" s="26" t="s">
        <v>341</v>
      </c>
    </row>
    <row r="85" spans="2:7" ht="29" outlineLevel="1" x14ac:dyDescent="0.35">
      <c r="B85" s="77"/>
      <c r="C85" s="77"/>
      <c r="D85" s="2" t="s">
        <v>2808</v>
      </c>
      <c r="E85" s="2" t="s">
        <v>2100</v>
      </c>
      <c r="F85" s="62"/>
      <c r="G85" s="26" t="s">
        <v>341</v>
      </c>
    </row>
    <row r="86" spans="2:7" ht="29" outlineLevel="1" x14ac:dyDescent="0.35">
      <c r="B86" s="77"/>
      <c r="C86" s="77"/>
      <c r="D86" s="2" t="s">
        <v>3654</v>
      </c>
      <c r="E86" s="2" t="s">
        <v>88</v>
      </c>
      <c r="F86" s="62"/>
      <c r="G86" s="26" t="s">
        <v>341</v>
      </c>
    </row>
    <row r="87" spans="2:7" ht="29" outlineLevel="1" x14ac:dyDescent="0.35">
      <c r="B87" s="77"/>
      <c r="C87" s="77"/>
      <c r="D87" s="2" t="s">
        <v>2198</v>
      </c>
      <c r="E87" s="2" t="s">
        <v>2199</v>
      </c>
      <c r="F87" s="62"/>
      <c r="G87" s="26" t="s">
        <v>341</v>
      </c>
    </row>
    <row r="88" spans="2:7" ht="29" outlineLevel="1" x14ac:dyDescent="0.35">
      <c r="B88" s="77"/>
      <c r="C88" s="77"/>
      <c r="D88" s="2" t="s">
        <v>2064</v>
      </c>
      <c r="E88" s="2" t="s">
        <v>2069</v>
      </c>
      <c r="F88" s="62"/>
      <c r="G88" s="26" t="s">
        <v>341</v>
      </c>
    </row>
    <row r="89" spans="2:7" ht="29" outlineLevel="1" x14ac:dyDescent="0.35">
      <c r="B89" s="77"/>
      <c r="C89" s="77"/>
      <c r="D89" s="2" t="s">
        <v>2099</v>
      </c>
      <c r="E89" s="2" t="s">
        <v>228</v>
      </c>
      <c r="F89" s="62"/>
      <c r="G89" s="26" t="s">
        <v>341</v>
      </c>
    </row>
    <row r="90" spans="2:7" ht="29" outlineLevel="1" x14ac:dyDescent="0.35">
      <c r="B90" s="77"/>
      <c r="C90" s="77"/>
      <c r="D90" s="2" t="s">
        <v>2175</v>
      </c>
      <c r="E90" s="2" t="s">
        <v>4226</v>
      </c>
      <c r="F90" s="62"/>
      <c r="G90" s="26" t="s">
        <v>341</v>
      </c>
    </row>
    <row r="91" spans="2:7" ht="43.5" outlineLevel="1" x14ac:dyDescent="0.35">
      <c r="B91" s="77"/>
      <c r="C91" s="77"/>
      <c r="D91" s="2" t="s">
        <v>2196</v>
      </c>
      <c r="E91" s="2" t="s">
        <v>2197</v>
      </c>
      <c r="F91" s="62"/>
      <c r="G91" s="26" t="s">
        <v>341</v>
      </c>
    </row>
    <row r="92" spans="2:7" ht="29" outlineLevel="1" x14ac:dyDescent="0.35">
      <c r="B92" s="77"/>
      <c r="C92" s="77"/>
      <c r="D92" s="2" t="s">
        <v>2337</v>
      </c>
      <c r="E92" s="2" t="s">
        <v>2338</v>
      </c>
      <c r="F92" s="62"/>
      <c r="G92" s="26" t="s">
        <v>341</v>
      </c>
    </row>
    <row r="93" spans="2:7" ht="29" outlineLevel="1" x14ac:dyDescent="0.35">
      <c r="B93" s="77"/>
      <c r="C93" s="77"/>
      <c r="D93" s="2" t="s">
        <v>2317</v>
      </c>
      <c r="E93" s="2" t="s">
        <v>2319</v>
      </c>
      <c r="F93" s="62"/>
      <c r="G93" s="26" t="s">
        <v>341</v>
      </c>
    </row>
    <row r="94" spans="2:7" outlineLevel="1" x14ac:dyDescent="0.35">
      <c r="B94" s="77"/>
      <c r="C94" s="77"/>
      <c r="D94" s="2" t="s">
        <v>3642</v>
      </c>
      <c r="E94" s="2" t="s">
        <v>2318</v>
      </c>
      <c r="F94" s="62"/>
      <c r="G94" s="26" t="s">
        <v>341</v>
      </c>
    </row>
    <row r="95" spans="2:7" outlineLevel="1" x14ac:dyDescent="0.35">
      <c r="B95" s="77"/>
      <c r="C95" s="77"/>
      <c r="D95" s="2" t="s">
        <v>2194</v>
      </c>
      <c r="E95" s="2" t="s">
        <v>2195</v>
      </c>
      <c r="F95" s="62"/>
      <c r="G95" s="26" t="s">
        <v>341</v>
      </c>
    </row>
    <row r="96" spans="2:7" ht="43.5" outlineLevel="1" x14ac:dyDescent="0.35">
      <c r="B96" s="77"/>
      <c r="C96" s="77"/>
      <c r="D96" s="2" t="s">
        <v>2145</v>
      </c>
      <c r="E96" s="2" t="s">
        <v>2146</v>
      </c>
      <c r="F96" s="62"/>
      <c r="G96" s="26" t="s">
        <v>341</v>
      </c>
    </row>
    <row r="97" spans="2:7" x14ac:dyDescent="0.35">
      <c r="B97" s="77"/>
      <c r="C97" s="77"/>
      <c r="D97" s="81" t="s">
        <v>2083</v>
      </c>
      <c r="E97" s="77"/>
      <c r="F97" s="62"/>
      <c r="G97" s="78"/>
    </row>
    <row r="98" spans="2:7" ht="29" outlineLevel="1" x14ac:dyDescent="0.35">
      <c r="B98" s="77"/>
      <c r="C98" s="77"/>
      <c r="D98" s="2" t="s">
        <v>3655</v>
      </c>
      <c r="E98" s="2" t="s">
        <v>2086</v>
      </c>
      <c r="F98" s="62"/>
      <c r="G98" s="26" t="s">
        <v>341</v>
      </c>
    </row>
    <row r="99" spans="2:7" ht="29" outlineLevel="1" x14ac:dyDescent="0.35">
      <c r="B99" s="77"/>
      <c r="C99" s="77"/>
      <c r="D99" s="2" t="s">
        <v>2084</v>
      </c>
      <c r="E99" s="2" t="s">
        <v>2087</v>
      </c>
      <c r="F99" s="62"/>
      <c r="G99" s="26" t="s">
        <v>341</v>
      </c>
    </row>
    <row r="100" spans="2:7" ht="29" outlineLevel="1" x14ac:dyDescent="0.35">
      <c r="B100" s="77"/>
      <c r="C100" s="77"/>
      <c r="D100" s="2" t="s">
        <v>2807</v>
      </c>
      <c r="E100" s="2" t="s">
        <v>2088</v>
      </c>
      <c r="F100" s="62"/>
      <c r="G100" s="26" t="s">
        <v>341</v>
      </c>
    </row>
    <row r="101" spans="2:7" ht="29" outlineLevel="1" x14ac:dyDescent="0.35">
      <c r="B101" s="77"/>
      <c r="C101" s="77"/>
      <c r="D101" s="2" t="s">
        <v>2085</v>
      </c>
      <c r="E101" s="2" t="s">
        <v>2089</v>
      </c>
      <c r="F101" s="62"/>
      <c r="G101" s="26" t="s">
        <v>341</v>
      </c>
    </row>
    <row r="102" spans="2:7" ht="29" outlineLevel="1" x14ac:dyDescent="0.35">
      <c r="B102" s="77"/>
      <c r="C102" s="77"/>
      <c r="D102" s="2" t="s">
        <v>2176</v>
      </c>
      <c r="E102" s="2" t="s">
        <v>2177</v>
      </c>
      <c r="F102" s="62"/>
      <c r="G102" s="26" t="s">
        <v>341</v>
      </c>
    </row>
    <row r="103" spans="2:7" x14ac:dyDescent="0.35">
      <c r="B103" s="77"/>
      <c r="C103" s="77"/>
      <c r="D103" s="81" t="s">
        <v>2096</v>
      </c>
      <c r="E103" s="2"/>
      <c r="F103" s="62"/>
      <c r="G103" s="2"/>
    </row>
    <row r="104" spans="2:7" ht="72.5" outlineLevel="1" x14ac:dyDescent="0.35">
      <c r="B104" s="77"/>
      <c r="C104" s="77"/>
      <c r="D104" s="2" t="s">
        <v>2097</v>
      </c>
      <c r="E104" s="2" t="s">
        <v>2098</v>
      </c>
      <c r="F104" s="62"/>
      <c r="G104" s="26" t="s">
        <v>341</v>
      </c>
    </row>
    <row r="105" spans="2:7" ht="29" outlineLevel="1" x14ac:dyDescent="0.35">
      <c r="B105" s="77"/>
      <c r="C105" s="77"/>
      <c r="D105" s="2" t="s">
        <v>2260</v>
      </c>
      <c r="E105" s="2" t="s">
        <v>2259</v>
      </c>
      <c r="F105" s="62"/>
      <c r="G105" s="26" t="s">
        <v>341</v>
      </c>
    </row>
    <row r="106" spans="2:7" ht="29" outlineLevel="1" x14ac:dyDescent="0.35">
      <c r="B106" s="77"/>
      <c r="C106" s="77"/>
      <c r="D106" s="2" t="s">
        <v>2257</v>
      </c>
      <c r="E106" s="2" t="s">
        <v>2258</v>
      </c>
      <c r="F106" s="62"/>
      <c r="G106" s="26" t="s">
        <v>341</v>
      </c>
    </row>
    <row r="107" spans="2:7" ht="29" outlineLevel="1" x14ac:dyDescent="0.35">
      <c r="B107" s="77"/>
      <c r="C107" s="77"/>
      <c r="D107" s="2" t="s">
        <v>2178</v>
      </c>
      <c r="E107" s="2" t="s">
        <v>2179</v>
      </c>
      <c r="F107" s="62"/>
      <c r="G107" s="26" t="s">
        <v>341</v>
      </c>
    </row>
    <row r="108" spans="2:7" outlineLevel="1" x14ac:dyDescent="0.35">
      <c r="B108" s="77"/>
      <c r="C108" s="77"/>
      <c r="D108" s="2" t="s">
        <v>2334</v>
      </c>
      <c r="E108" s="2" t="s">
        <v>2335</v>
      </c>
      <c r="F108" s="62"/>
      <c r="G108" s="26" t="s">
        <v>341</v>
      </c>
    </row>
    <row r="109" spans="2:7" ht="45" customHeight="1" outlineLevel="1" x14ac:dyDescent="0.35">
      <c r="B109" s="77"/>
      <c r="C109" s="77"/>
      <c r="D109" s="2" t="s">
        <v>2465</v>
      </c>
      <c r="E109" s="2" t="s">
        <v>2478</v>
      </c>
      <c r="F109" s="62"/>
      <c r="G109" s="26" t="s">
        <v>341</v>
      </c>
    </row>
    <row r="110" spans="2:7" ht="44" customHeight="1" outlineLevel="1" x14ac:dyDescent="0.35">
      <c r="B110" s="77"/>
      <c r="C110" s="77"/>
      <c r="D110" s="2" t="s">
        <v>2474</v>
      </c>
      <c r="E110" s="2" t="s">
        <v>2479</v>
      </c>
      <c r="F110" s="62"/>
      <c r="G110" s="26" t="s">
        <v>341</v>
      </c>
    </row>
    <row r="111" spans="2:7" ht="43.5" outlineLevel="1" x14ac:dyDescent="0.35">
      <c r="B111" s="77"/>
      <c r="C111" s="77"/>
      <c r="D111" s="2" t="s">
        <v>2466</v>
      </c>
      <c r="E111" s="2" t="s">
        <v>2480</v>
      </c>
      <c r="F111" s="62"/>
      <c r="G111" s="26" t="s">
        <v>341</v>
      </c>
    </row>
    <row r="112" spans="2:7" ht="43.5" outlineLevel="1" x14ac:dyDescent="0.35">
      <c r="B112" s="77"/>
      <c r="C112" s="77"/>
      <c r="D112" s="2" t="s">
        <v>2467</v>
      </c>
      <c r="E112" s="2" t="s">
        <v>2481</v>
      </c>
      <c r="F112" s="62"/>
      <c r="G112" s="26" t="s">
        <v>341</v>
      </c>
    </row>
    <row r="113" spans="2:7" ht="29" outlineLevel="1" x14ac:dyDescent="0.35">
      <c r="B113" s="77"/>
      <c r="C113" s="77"/>
      <c r="D113" s="2" t="s">
        <v>2468</v>
      </c>
      <c r="E113" s="2" t="s">
        <v>2482</v>
      </c>
      <c r="F113" s="62"/>
      <c r="G113" s="26" t="s">
        <v>341</v>
      </c>
    </row>
    <row r="114" spans="2:7" ht="58" outlineLevel="1" x14ac:dyDescent="0.35">
      <c r="B114" s="77"/>
      <c r="C114" s="77"/>
      <c r="D114" s="2" t="s">
        <v>2469</v>
      </c>
      <c r="E114" s="2" t="s">
        <v>2483</v>
      </c>
      <c r="F114" s="62"/>
      <c r="G114" s="26" t="s">
        <v>341</v>
      </c>
    </row>
    <row r="115" spans="2:7" ht="43.5" outlineLevel="1" x14ac:dyDescent="0.35">
      <c r="B115" s="77"/>
      <c r="C115" s="77"/>
      <c r="D115" s="2" t="s">
        <v>2470</v>
      </c>
      <c r="E115" s="2" t="s">
        <v>2484</v>
      </c>
      <c r="F115" s="62"/>
      <c r="G115" s="26" t="s">
        <v>341</v>
      </c>
    </row>
    <row r="116" spans="2:7" ht="29" outlineLevel="1" x14ac:dyDescent="0.35">
      <c r="B116" s="77"/>
      <c r="C116" s="77"/>
      <c r="D116" s="2" t="s">
        <v>2471</v>
      </c>
      <c r="E116" s="2" t="s">
        <v>2485</v>
      </c>
      <c r="F116" s="62"/>
      <c r="G116" s="26" t="s">
        <v>341</v>
      </c>
    </row>
    <row r="117" spans="2:7" ht="43.5" outlineLevel="1" x14ac:dyDescent="0.35">
      <c r="B117" s="77"/>
      <c r="C117" s="77"/>
      <c r="D117" s="2" t="s">
        <v>2534</v>
      </c>
      <c r="E117" s="2" t="s">
        <v>3929</v>
      </c>
      <c r="F117" s="62"/>
      <c r="G117" s="26" t="s">
        <v>341</v>
      </c>
    </row>
    <row r="118" spans="2:7" ht="29" outlineLevel="1" x14ac:dyDescent="0.35">
      <c r="B118" s="77"/>
      <c r="C118" s="77"/>
      <c r="D118" s="2" t="s">
        <v>2472</v>
      </c>
      <c r="E118" s="2" t="s">
        <v>2486</v>
      </c>
      <c r="F118" s="62"/>
      <c r="G118" s="26" t="s">
        <v>341</v>
      </c>
    </row>
    <row r="119" spans="2:7" ht="43.5" outlineLevel="1" x14ac:dyDescent="0.35">
      <c r="B119" s="77"/>
      <c r="C119" s="77"/>
      <c r="D119" s="2" t="s">
        <v>2473</v>
      </c>
      <c r="E119" s="2" t="s">
        <v>2487</v>
      </c>
      <c r="F119" s="62"/>
      <c r="G119" s="26" t="s">
        <v>341</v>
      </c>
    </row>
    <row r="120" spans="2:7" ht="29" outlineLevel="1" x14ac:dyDescent="0.35">
      <c r="B120" s="77"/>
      <c r="C120" s="77"/>
      <c r="D120" s="2" t="s">
        <v>2547</v>
      </c>
      <c r="E120" s="2" t="s">
        <v>2989</v>
      </c>
      <c r="F120" s="62"/>
      <c r="G120" s="26" t="s">
        <v>341</v>
      </c>
    </row>
    <row r="121" spans="2:7" ht="43.5" outlineLevel="1" x14ac:dyDescent="0.35">
      <c r="B121" s="77"/>
      <c r="C121" s="77"/>
      <c r="D121" s="2" t="s">
        <v>2548</v>
      </c>
      <c r="E121" s="2" t="s">
        <v>2549</v>
      </c>
      <c r="F121" s="62"/>
      <c r="G121" s="26" t="s">
        <v>341</v>
      </c>
    </row>
    <row r="122" spans="2:7" outlineLevel="1" x14ac:dyDescent="0.35">
      <c r="B122" s="77"/>
      <c r="C122" s="77"/>
      <c r="D122" s="2" t="s">
        <v>2550</v>
      </c>
      <c r="E122" s="2" t="s">
        <v>2551</v>
      </c>
      <c r="F122" s="62"/>
      <c r="G122" s="26" t="s">
        <v>341</v>
      </c>
    </row>
    <row r="123" spans="2:7" ht="29" outlineLevel="1" x14ac:dyDescent="0.35">
      <c r="B123" s="77"/>
      <c r="C123" s="77"/>
      <c r="D123" s="2" t="s">
        <v>2552</v>
      </c>
      <c r="E123" s="2" t="s">
        <v>2553</v>
      </c>
      <c r="F123" s="62"/>
      <c r="G123" s="26" t="s">
        <v>341</v>
      </c>
    </row>
    <row r="124" spans="2:7" ht="29" outlineLevel="1" x14ac:dyDescent="0.35">
      <c r="B124" s="77"/>
      <c r="C124" s="77"/>
      <c r="D124" s="2" t="s">
        <v>2599</v>
      </c>
      <c r="E124" s="2" t="s">
        <v>2999</v>
      </c>
      <c r="F124" s="62"/>
      <c r="G124" s="26" t="s">
        <v>341</v>
      </c>
    </row>
    <row r="125" spans="2:7" ht="43.5" outlineLevel="1" x14ac:dyDescent="0.35">
      <c r="B125" s="77"/>
      <c r="C125" s="77"/>
      <c r="D125" s="2" t="s">
        <v>2543</v>
      </c>
      <c r="E125" s="2" t="s">
        <v>2601</v>
      </c>
      <c r="F125" s="62"/>
      <c r="G125" s="26" t="s">
        <v>341</v>
      </c>
    </row>
    <row r="126" spans="2:7" ht="43.5" outlineLevel="1" x14ac:dyDescent="0.35">
      <c r="B126" s="77"/>
      <c r="C126" s="77"/>
      <c r="D126" s="2" t="s">
        <v>2544</v>
      </c>
      <c r="E126" s="2" t="s">
        <v>2602</v>
      </c>
      <c r="F126" s="62"/>
      <c r="G126" s="26" t="s">
        <v>341</v>
      </c>
    </row>
    <row r="127" spans="2:7" ht="29" outlineLevel="1" x14ac:dyDescent="0.35">
      <c r="B127" s="77"/>
      <c r="C127" s="77"/>
      <c r="D127" s="2" t="s">
        <v>2545</v>
      </c>
      <c r="E127" s="2" t="s">
        <v>2546</v>
      </c>
      <c r="F127" s="62"/>
      <c r="G127" s="26" t="s">
        <v>341</v>
      </c>
    </row>
    <row r="128" spans="2:7" ht="58" outlineLevel="1" x14ac:dyDescent="0.35">
      <c r="B128" s="77"/>
      <c r="C128" s="77"/>
      <c r="D128" s="2" t="s">
        <v>3160</v>
      </c>
      <c r="E128" s="104" t="s">
        <v>1263</v>
      </c>
      <c r="F128" s="62"/>
      <c r="G128" s="26" t="s">
        <v>341</v>
      </c>
    </row>
    <row r="129" spans="2:7" x14ac:dyDescent="0.35">
      <c r="B129" s="77"/>
      <c r="C129" s="77"/>
      <c r="D129" s="81" t="s">
        <v>2090</v>
      </c>
      <c r="E129" s="2"/>
      <c r="F129" s="62"/>
      <c r="G129" s="2"/>
    </row>
    <row r="130" spans="2:7" ht="43.5" outlineLevel="1" x14ac:dyDescent="0.35">
      <c r="B130" s="77"/>
      <c r="C130" s="77"/>
      <c r="D130" s="2" t="s">
        <v>2091</v>
      </c>
      <c r="E130" s="2" t="s">
        <v>2094</v>
      </c>
      <c r="F130" s="62"/>
      <c r="G130" s="26" t="s">
        <v>341</v>
      </c>
    </row>
    <row r="131" spans="2:7" ht="29" outlineLevel="1" x14ac:dyDescent="0.35">
      <c r="B131" s="77"/>
      <c r="C131" s="77"/>
      <c r="D131" s="2" t="s">
        <v>2320</v>
      </c>
      <c r="E131" s="2" t="s">
        <v>2321</v>
      </c>
      <c r="F131" s="62"/>
      <c r="G131" s="26" t="s">
        <v>341</v>
      </c>
    </row>
    <row r="132" spans="2:7" ht="29" outlineLevel="1" x14ac:dyDescent="0.35">
      <c r="B132" s="77"/>
      <c r="C132" s="77"/>
      <c r="D132" s="2" t="s">
        <v>2341</v>
      </c>
      <c r="E132" s="2" t="s">
        <v>2342</v>
      </c>
      <c r="F132" s="62"/>
      <c r="G132" s="26" t="s">
        <v>341</v>
      </c>
    </row>
    <row r="133" spans="2:7" ht="29" outlineLevel="1" x14ac:dyDescent="0.35">
      <c r="B133" s="77"/>
      <c r="C133" s="77"/>
      <c r="D133" s="2" t="s">
        <v>2092</v>
      </c>
      <c r="E133" s="2" t="s">
        <v>2095</v>
      </c>
      <c r="F133" s="62"/>
      <c r="G133" s="26" t="s">
        <v>341</v>
      </c>
    </row>
    <row r="134" spans="2:7" ht="29" outlineLevel="1" x14ac:dyDescent="0.35">
      <c r="B134" s="77"/>
      <c r="C134" s="77"/>
      <c r="D134" s="2" t="s">
        <v>2204</v>
      </c>
      <c r="E134" s="2" t="s">
        <v>3967</v>
      </c>
      <c r="F134" s="62"/>
      <c r="G134" s="26" t="s">
        <v>341</v>
      </c>
    </row>
    <row r="135" spans="2:7" ht="29" outlineLevel="1" x14ac:dyDescent="0.35">
      <c r="B135" s="77"/>
      <c r="C135" s="77"/>
      <c r="D135" s="2" t="s">
        <v>2093</v>
      </c>
      <c r="E135" s="2" t="s">
        <v>1227</v>
      </c>
      <c r="F135" s="62"/>
      <c r="G135" s="26" t="s">
        <v>341</v>
      </c>
    </row>
    <row r="136" spans="2:7" ht="29" outlineLevel="1" x14ac:dyDescent="0.35">
      <c r="B136" s="77"/>
      <c r="C136" s="77"/>
      <c r="D136" s="2" t="s">
        <v>2339</v>
      </c>
      <c r="E136" s="2" t="s">
        <v>2340</v>
      </c>
      <c r="F136" s="62"/>
      <c r="G136" s="26" t="s">
        <v>341</v>
      </c>
    </row>
    <row r="137" spans="2:7" x14ac:dyDescent="0.35">
      <c r="B137" s="77"/>
      <c r="C137" s="77"/>
      <c r="D137" s="81" t="s">
        <v>2200</v>
      </c>
      <c r="E137" s="2"/>
      <c r="F137" s="62"/>
      <c r="G137" s="2"/>
    </row>
    <row r="138" spans="2:7" ht="43.5" outlineLevel="1" x14ac:dyDescent="0.35">
      <c r="B138" s="77"/>
      <c r="C138" s="77"/>
      <c r="D138" s="2" t="s">
        <v>2201</v>
      </c>
      <c r="E138" s="2" t="s">
        <v>2965</v>
      </c>
      <c r="F138" s="62"/>
      <c r="G138" s="26" t="s">
        <v>341</v>
      </c>
    </row>
    <row r="139" spans="2:7" ht="43.5" outlineLevel="1" x14ac:dyDescent="0.35">
      <c r="B139" s="77"/>
      <c r="C139" s="77"/>
      <c r="D139" s="2" t="s">
        <v>2261</v>
      </c>
      <c r="E139" s="2" t="s">
        <v>2262</v>
      </c>
      <c r="F139" s="62"/>
      <c r="G139" s="26" t="s">
        <v>341</v>
      </c>
    </row>
    <row r="140" spans="2:7" ht="43.5" outlineLevel="1" x14ac:dyDescent="0.35">
      <c r="B140" s="77"/>
      <c r="C140" s="77"/>
      <c r="D140" s="2" t="s">
        <v>2202</v>
      </c>
      <c r="E140" s="2" t="s">
        <v>2203</v>
      </c>
      <c r="F140" s="62"/>
      <c r="G140" s="26" t="s">
        <v>341</v>
      </c>
    </row>
    <row r="141" spans="2:7" ht="58" outlineLevel="1" x14ac:dyDescent="0.35">
      <c r="B141" s="77"/>
      <c r="C141" s="77"/>
      <c r="D141" s="2" t="s">
        <v>2330</v>
      </c>
      <c r="E141" s="2" t="s">
        <v>2331</v>
      </c>
      <c r="F141" s="62"/>
      <c r="G141" s="26" t="s">
        <v>341</v>
      </c>
    </row>
    <row r="142" spans="2:7" x14ac:dyDescent="0.35">
      <c r="B142" s="77"/>
      <c r="C142" s="77" t="s">
        <v>2630</v>
      </c>
      <c r="D142" s="77"/>
      <c r="E142" s="77"/>
      <c r="F142" s="62"/>
      <c r="G142" s="23">
        <f>COUNTIF(G143:G197,"Yes")</f>
        <v>47</v>
      </c>
    </row>
    <row r="143" spans="2:7" ht="29" x14ac:dyDescent="0.35">
      <c r="B143" s="77"/>
      <c r="C143" s="77" t="s">
        <v>2631</v>
      </c>
      <c r="D143" s="77"/>
      <c r="E143" s="77"/>
      <c r="F143" s="62"/>
      <c r="G143" s="77"/>
    </row>
    <row r="144" spans="2:7" x14ac:dyDescent="0.35">
      <c r="B144" s="77"/>
      <c r="C144" s="77"/>
      <c r="D144" s="81" t="s">
        <v>2632</v>
      </c>
      <c r="E144" s="77"/>
      <c r="F144" s="62"/>
      <c r="G144" s="77"/>
    </row>
    <row r="145" spans="2:7" ht="43.5" outlineLevel="1" x14ac:dyDescent="0.35">
      <c r="B145" s="77"/>
      <c r="C145" s="77"/>
      <c r="D145" s="2" t="s">
        <v>2633</v>
      </c>
      <c r="E145" s="2" t="s">
        <v>2640</v>
      </c>
      <c r="F145" s="62"/>
      <c r="G145" s="26" t="s">
        <v>341</v>
      </c>
    </row>
    <row r="146" spans="2:7" x14ac:dyDescent="0.35">
      <c r="B146" s="77"/>
      <c r="C146" s="77"/>
      <c r="D146" s="81" t="s">
        <v>2634</v>
      </c>
      <c r="E146" s="77"/>
      <c r="F146" s="62"/>
      <c r="G146" s="77"/>
    </row>
    <row r="147" spans="2:7" ht="58" outlineLevel="1" x14ac:dyDescent="0.35">
      <c r="B147" s="77"/>
      <c r="C147" s="77"/>
      <c r="D147" s="2" t="s">
        <v>2635</v>
      </c>
      <c r="E147" s="2" t="s">
        <v>2641</v>
      </c>
      <c r="F147" s="62"/>
      <c r="G147" s="26" t="s">
        <v>341</v>
      </c>
    </row>
    <row r="148" spans="2:7" ht="29" outlineLevel="1" x14ac:dyDescent="0.35">
      <c r="B148" s="77"/>
      <c r="C148" s="77"/>
      <c r="D148" s="2" t="s">
        <v>2636</v>
      </c>
      <c r="E148" s="2" t="s">
        <v>2642</v>
      </c>
      <c r="F148" s="62"/>
      <c r="G148" s="26" t="s">
        <v>341</v>
      </c>
    </row>
    <row r="149" spans="2:7" x14ac:dyDescent="0.35">
      <c r="B149" s="77"/>
      <c r="C149" s="77"/>
      <c r="D149" s="81" t="s">
        <v>2637</v>
      </c>
      <c r="E149" s="77"/>
      <c r="F149" s="62"/>
      <c r="G149" s="77"/>
    </row>
    <row r="150" spans="2:7" ht="43.5" outlineLevel="1" x14ac:dyDescent="0.35">
      <c r="B150" s="77"/>
      <c r="C150" s="77"/>
      <c r="D150" s="2" t="s">
        <v>2638</v>
      </c>
      <c r="E150" s="2" t="s">
        <v>2643</v>
      </c>
      <c r="F150" s="62"/>
      <c r="G150" s="26" t="s">
        <v>341</v>
      </c>
    </row>
    <row r="151" spans="2:7" ht="58" outlineLevel="1" x14ac:dyDescent="0.35">
      <c r="B151" s="77"/>
      <c r="C151" s="77"/>
      <c r="D151" s="2" t="s">
        <v>2698</v>
      </c>
      <c r="E151" s="2" t="s">
        <v>2701</v>
      </c>
      <c r="F151" s="62"/>
      <c r="G151" s="26" t="s">
        <v>341</v>
      </c>
    </row>
    <row r="152" spans="2:7" ht="72.5" outlineLevel="1" x14ac:dyDescent="0.35">
      <c r="B152" s="77"/>
      <c r="C152" s="77"/>
      <c r="D152" s="2" t="s">
        <v>2699</v>
      </c>
      <c r="E152" s="2" t="s">
        <v>2702</v>
      </c>
      <c r="F152" s="62"/>
      <c r="G152" s="26" t="s">
        <v>341</v>
      </c>
    </row>
    <row r="153" spans="2:7" ht="29" outlineLevel="1" x14ac:dyDescent="0.35">
      <c r="B153" s="77"/>
      <c r="C153" s="77"/>
      <c r="D153" s="2" t="s">
        <v>2700</v>
      </c>
      <c r="E153" s="2" t="s">
        <v>4033</v>
      </c>
      <c r="F153" s="62"/>
      <c r="G153" s="26" t="s">
        <v>341</v>
      </c>
    </row>
    <row r="154" spans="2:7" ht="29" outlineLevel="1" x14ac:dyDescent="0.35">
      <c r="B154" s="77"/>
      <c r="C154" s="77"/>
      <c r="D154" s="2" t="s">
        <v>2639</v>
      </c>
      <c r="E154" s="2" t="s">
        <v>2644</v>
      </c>
      <c r="F154" s="62"/>
      <c r="G154" s="26" t="s">
        <v>341</v>
      </c>
    </row>
    <row r="155" spans="2:7" x14ac:dyDescent="0.35">
      <c r="B155" s="77"/>
      <c r="C155" s="77"/>
      <c r="D155" s="81" t="s">
        <v>2909</v>
      </c>
      <c r="E155" s="77"/>
      <c r="F155" s="62"/>
      <c r="G155" s="77"/>
    </row>
    <row r="156" spans="2:7" ht="29" outlineLevel="1" x14ac:dyDescent="0.35">
      <c r="B156" s="77"/>
      <c r="C156" s="77"/>
      <c r="D156" s="2" t="s">
        <v>2675</v>
      </c>
      <c r="E156" s="2" t="s">
        <v>2696</v>
      </c>
      <c r="F156" s="62"/>
      <c r="G156" s="26" t="s">
        <v>341</v>
      </c>
    </row>
    <row r="157" spans="2:7" ht="29" outlineLevel="1" x14ac:dyDescent="0.35">
      <c r="B157" s="77"/>
      <c r="C157" s="77"/>
      <c r="D157" s="62" t="s">
        <v>2676</v>
      </c>
      <c r="E157" s="2" t="s">
        <v>2695</v>
      </c>
      <c r="F157" s="62"/>
      <c r="G157" s="26" t="s">
        <v>341</v>
      </c>
    </row>
    <row r="158" spans="2:7" ht="72.5" outlineLevel="1" x14ac:dyDescent="0.35">
      <c r="B158" s="77"/>
      <c r="C158" s="77"/>
      <c r="D158" s="2" t="s">
        <v>2677</v>
      </c>
      <c r="E158" s="2" t="s">
        <v>2697</v>
      </c>
      <c r="F158" s="62"/>
      <c r="G158" s="26" t="s">
        <v>341</v>
      </c>
    </row>
    <row r="159" spans="2:7" x14ac:dyDescent="0.35">
      <c r="B159" s="77"/>
      <c r="C159" s="77"/>
      <c r="D159" s="81" t="s">
        <v>2910</v>
      </c>
      <c r="E159" s="77"/>
      <c r="F159" s="62"/>
      <c r="G159" s="77"/>
    </row>
    <row r="160" spans="2:7" ht="58" outlineLevel="1" x14ac:dyDescent="0.35">
      <c r="B160" s="77"/>
      <c r="C160" s="77"/>
      <c r="D160" s="2" t="s">
        <v>2703</v>
      </c>
      <c r="E160" s="2" t="s">
        <v>2705</v>
      </c>
      <c r="F160" s="62"/>
      <c r="G160" s="26" t="s">
        <v>341</v>
      </c>
    </row>
    <row r="161" spans="2:7" ht="58" outlineLevel="1" x14ac:dyDescent="0.35">
      <c r="B161" s="77"/>
      <c r="C161" s="77"/>
      <c r="D161" s="2" t="s">
        <v>2704</v>
      </c>
      <c r="E161" s="2" t="s">
        <v>4018</v>
      </c>
      <c r="F161" s="62"/>
      <c r="G161" s="26" t="s">
        <v>341</v>
      </c>
    </row>
    <row r="162" spans="2:7" x14ac:dyDescent="0.35">
      <c r="B162" s="77"/>
      <c r="C162" s="77"/>
      <c r="D162" s="81" t="s">
        <v>2738</v>
      </c>
      <c r="E162" s="77"/>
      <c r="F162" s="62"/>
      <c r="G162" s="77"/>
    </row>
    <row r="163" spans="2:7" ht="58" outlineLevel="1" x14ac:dyDescent="0.35">
      <c r="B163" s="77"/>
      <c r="C163" s="77"/>
      <c r="D163" s="2" t="s">
        <v>2739</v>
      </c>
      <c r="E163" s="2" t="s">
        <v>4034</v>
      </c>
      <c r="F163" s="62"/>
      <c r="G163" s="26" t="s">
        <v>341</v>
      </c>
    </row>
    <row r="164" spans="2:7" ht="58" outlineLevel="1" x14ac:dyDescent="0.35">
      <c r="B164" s="77"/>
      <c r="C164" s="77"/>
      <c r="D164" s="2" t="s">
        <v>2740</v>
      </c>
      <c r="E164" s="2" t="s">
        <v>2749</v>
      </c>
      <c r="F164" s="62"/>
      <c r="G164" s="26" t="s">
        <v>341</v>
      </c>
    </row>
    <row r="165" spans="2:7" ht="58" outlineLevel="1" x14ac:dyDescent="0.35">
      <c r="B165" s="77"/>
      <c r="C165" s="77"/>
      <c r="D165" s="2" t="s">
        <v>2741</v>
      </c>
      <c r="E165" s="2" t="s">
        <v>3885</v>
      </c>
      <c r="F165" s="62"/>
      <c r="G165" s="26" t="s">
        <v>341</v>
      </c>
    </row>
    <row r="166" spans="2:7" ht="43.5" outlineLevel="1" x14ac:dyDescent="0.35">
      <c r="B166" s="77"/>
      <c r="C166" s="77"/>
      <c r="D166" s="2" t="s">
        <v>2742</v>
      </c>
      <c r="E166" s="2" t="s">
        <v>2750</v>
      </c>
      <c r="F166" s="62"/>
      <c r="G166" s="26" t="s">
        <v>341</v>
      </c>
    </row>
    <row r="167" spans="2:7" ht="43.5" outlineLevel="1" x14ac:dyDescent="0.35">
      <c r="B167" s="77"/>
      <c r="C167" s="77"/>
      <c r="D167" s="2" t="s">
        <v>2743</v>
      </c>
      <c r="E167" s="2" t="s">
        <v>2751</v>
      </c>
      <c r="F167" s="62"/>
      <c r="G167" s="26" t="s">
        <v>341</v>
      </c>
    </row>
    <row r="168" spans="2:7" ht="72.5" outlineLevel="1" x14ac:dyDescent="0.35">
      <c r="B168" s="77"/>
      <c r="C168" s="77"/>
      <c r="D168" s="2" t="s">
        <v>2744</v>
      </c>
      <c r="E168" s="2" t="s">
        <v>2752</v>
      </c>
      <c r="F168" s="62"/>
      <c r="G168" s="26" t="s">
        <v>341</v>
      </c>
    </row>
    <row r="169" spans="2:7" ht="58" outlineLevel="1" x14ac:dyDescent="0.35">
      <c r="B169" s="77"/>
      <c r="C169" s="77"/>
      <c r="D169" s="2" t="s">
        <v>2745</v>
      </c>
      <c r="E169" s="2" t="s">
        <v>2753</v>
      </c>
      <c r="F169" s="62"/>
      <c r="G169" s="26" t="s">
        <v>341</v>
      </c>
    </row>
    <row r="170" spans="2:7" ht="72.5" outlineLevel="1" x14ac:dyDescent="0.35">
      <c r="B170" s="77"/>
      <c r="C170" s="77"/>
      <c r="D170" s="2" t="s">
        <v>2746</v>
      </c>
      <c r="E170" s="2" t="s">
        <v>2758</v>
      </c>
      <c r="F170" s="62"/>
      <c r="G170" s="26" t="s">
        <v>341</v>
      </c>
    </row>
    <row r="171" spans="2:7" ht="72.5" outlineLevel="1" x14ac:dyDescent="0.35">
      <c r="B171" s="77"/>
      <c r="C171" s="77"/>
      <c r="D171" s="2" t="s">
        <v>2747</v>
      </c>
      <c r="E171" s="2" t="s">
        <v>2754</v>
      </c>
      <c r="F171" s="62"/>
      <c r="G171" s="26" t="s">
        <v>341</v>
      </c>
    </row>
    <row r="172" spans="2:7" ht="58" outlineLevel="1" x14ac:dyDescent="0.35">
      <c r="B172" s="77"/>
      <c r="C172" s="77"/>
      <c r="D172" s="2" t="s">
        <v>2748</v>
      </c>
      <c r="E172" s="2" t="s">
        <v>2755</v>
      </c>
      <c r="F172" s="62"/>
      <c r="G172" s="26" t="s">
        <v>341</v>
      </c>
    </row>
    <row r="173" spans="2:7" ht="29" outlineLevel="1" x14ac:dyDescent="0.35">
      <c r="B173" s="77"/>
      <c r="C173" s="77"/>
      <c r="D173" s="2" t="s">
        <v>3161</v>
      </c>
      <c r="E173" s="2" t="s">
        <v>806</v>
      </c>
      <c r="F173" s="62"/>
      <c r="G173" s="26" t="s">
        <v>341</v>
      </c>
    </row>
    <row r="174" spans="2:7" ht="29" outlineLevel="1" x14ac:dyDescent="0.35">
      <c r="B174" s="77"/>
      <c r="C174" s="77"/>
      <c r="D174" s="2" t="s">
        <v>3162</v>
      </c>
      <c r="E174" s="2" t="s">
        <v>121</v>
      </c>
      <c r="F174" s="62"/>
      <c r="G174" s="26" t="s">
        <v>341</v>
      </c>
    </row>
    <row r="175" spans="2:7" outlineLevel="1" x14ac:dyDescent="0.35">
      <c r="B175" s="77"/>
      <c r="C175" s="77"/>
      <c r="D175" s="2" t="s">
        <v>3163</v>
      </c>
      <c r="E175" s="2" t="s">
        <v>794</v>
      </c>
      <c r="F175" s="62"/>
      <c r="G175" s="26" t="s">
        <v>341</v>
      </c>
    </row>
    <row r="176" spans="2:7" ht="31.5" customHeight="1" outlineLevel="1" x14ac:dyDescent="0.35">
      <c r="B176" s="77"/>
      <c r="C176" s="77"/>
      <c r="D176" s="2" t="s">
        <v>3164</v>
      </c>
      <c r="E176" s="2" t="s">
        <v>122</v>
      </c>
      <c r="F176" s="62"/>
      <c r="G176" s="26" t="s">
        <v>341</v>
      </c>
    </row>
    <row r="177" spans="2:7" ht="58" outlineLevel="1" x14ac:dyDescent="0.35">
      <c r="B177" s="77"/>
      <c r="C177" s="77"/>
      <c r="D177" s="2" t="s">
        <v>3656</v>
      </c>
      <c r="E177" s="2" t="s">
        <v>797</v>
      </c>
      <c r="G177" s="26" t="s">
        <v>341</v>
      </c>
    </row>
    <row r="178" spans="2:7" ht="58" outlineLevel="1" x14ac:dyDescent="0.35">
      <c r="B178" s="77"/>
      <c r="C178" s="77"/>
      <c r="D178" s="2" t="s">
        <v>3657</v>
      </c>
      <c r="E178" s="2" t="s">
        <v>669</v>
      </c>
      <c r="F178" s="62"/>
      <c r="G178" s="26" t="s">
        <v>341</v>
      </c>
    </row>
    <row r="179" spans="2:7" ht="43.5" outlineLevel="1" x14ac:dyDescent="0.35">
      <c r="B179" s="77"/>
      <c r="C179" s="77"/>
      <c r="D179" s="2" t="s">
        <v>3165</v>
      </c>
      <c r="E179" s="2" t="s">
        <v>799</v>
      </c>
      <c r="F179" s="62"/>
      <c r="G179" s="26" t="s">
        <v>341</v>
      </c>
    </row>
    <row r="180" spans="2:7" ht="43.5" outlineLevel="1" x14ac:dyDescent="0.35">
      <c r="B180" s="77"/>
      <c r="C180" s="77"/>
      <c r="D180" s="2" t="s">
        <v>3166</v>
      </c>
      <c r="E180" s="2" t="s">
        <v>2293</v>
      </c>
      <c r="F180" s="62"/>
      <c r="G180" s="26" t="s">
        <v>341</v>
      </c>
    </row>
    <row r="181" spans="2:7" ht="58" outlineLevel="1" x14ac:dyDescent="0.35">
      <c r="B181" s="77"/>
      <c r="C181" s="77"/>
      <c r="D181" s="2" t="s">
        <v>3167</v>
      </c>
      <c r="E181" s="2" t="s">
        <v>1168</v>
      </c>
      <c r="F181" s="62"/>
      <c r="G181" s="26" t="s">
        <v>341</v>
      </c>
    </row>
    <row r="182" spans="2:7" ht="29" outlineLevel="1" x14ac:dyDescent="0.35">
      <c r="B182" s="77"/>
      <c r="C182" s="77"/>
      <c r="D182" s="2" t="s">
        <v>3168</v>
      </c>
      <c r="E182" s="2" t="s">
        <v>72</v>
      </c>
      <c r="F182" s="62"/>
      <c r="G182" s="26" t="s">
        <v>341</v>
      </c>
    </row>
    <row r="183" spans="2:7" x14ac:dyDescent="0.35">
      <c r="B183" s="77"/>
      <c r="C183" s="77"/>
      <c r="D183" s="81" t="s">
        <v>2773</v>
      </c>
      <c r="E183" s="77"/>
      <c r="F183" s="62"/>
      <c r="G183" s="77"/>
    </row>
    <row r="184" spans="2:7" ht="29" outlineLevel="1" x14ac:dyDescent="0.35">
      <c r="B184" s="77"/>
      <c r="C184" s="77"/>
      <c r="D184" s="2" t="s">
        <v>2774</v>
      </c>
      <c r="E184" s="2" t="s">
        <v>2784</v>
      </c>
      <c r="F184" s="62"/>
      <c r="G184" s="26" t="s">
        <v>341</v>
      </c>
    </row>
    <row r="185" spans="2:7" ht="43.5" outlineLevel="1" x14ac:dyDescent="0.35">
      <c r="B185" s="77"/>
      <c r="C185" s="77"/>
      <c r="D185" s="2" t="s">
        <v>2775</v>
      </c>
      <c r="E185" s="2" t="s">
        <v>2785</v>
      </c>
      <c r="F185" s="62"/>
      <c r="G185" s="26" t="s">
        <v>341</v>
      </c>
    </row>
    <row r="186" spans="2:7" ht="58" outlineLevel="1" x14ac:dyDescent="0.35">
      <c r="B186" s="77"/>
      <c r="C186" s="77"/>
      <c r="D186" s="2" t="s">
        <v>2793</v>
      </c>
      <c r="E186" s="2" t="s">
        <v>2794</v>
      </c>
      <c r="F186" s="62"/>
      <c r="G186" s="26" t="s">
        <v>341</v>
      </c>
    </row>
    <row r="187" spans="2:7" ht="43.5" outlineLevel="1" x14ac:dyDescent="0.35">
      <c r="B187" s="77"/>
      <c r="C187" s="77"/>
      <c r="D187" s="2" t="s">
        <v>2776</v>
      </c>
      <c r="E187" s="2" t="s">
        <v>2786</v>
      </c>
      <c r="F187" s="62"/>
      <c r="G187" s="26" t="s">
        <v>341</v>
      </c>
    </row>
    <row r="188" spans="2:7" ht="101.5" outlineLevel="1" x14ac:dyDescent="0.35">
      <c r="B188" s="77"/>
      <c r="C188" s="77"/>
      <c r="D188" s="2" t="s">
        <v>2777</v>
      </c>
      <c r="E188" s="2" t="s">
        <v>3948</v>
      </c>
      <c r="F188" s="62"/>
      <c r="G188" s="26" t="s">
        <v>341</v>
      </c>
    </row>
    <row r="189" spans="2:7" ht="43.5" outlineLevel="1" x14ac:dyDescent="0.35">
      <c r="B189" s="77"/>
      <c r="C189" s="77"/>
      <c r="D189" s="2" t="s">
        <v>2778</v>
      </c>
      <c r="E189" s="2" t="s">
        <v>2787</v>
      </c>
      <c r="F189" s="62"/>
      <c r="G189" s="26" t="s">
        <v>341</v>
      </c>
    </row>
    <row r="190" spans="2:7" ht="58" outlineLevel="1" x14ac:dyDescent="0.35">
      <c r="B190" s="77"/>
      <c r="C190" s="77"/>
      <c r="D190" s="2" t="s">
        <v>2779</v>
      </c>
      <c r="E190" s="2" t="s">
        <v>2788</v>
      </c>
      <c r="F190" s="62"/>
      <c r="G190" s="26" t="s">
        <v>341</v>
      </c>
    </row>
    <row r="191" spans="2:7" ht="43.5" outlineLevel="1" x14ac:dyDescent="0.35">
      <c r="B191" s="77"/>
      <c r="C191" s="77"/>
      <c r="D191" s="2" t="s">
        <v>2780</v>
      </c>
      <c r="E191" s="2" t="s">
        <v>2789</v>
      </c>
      <c r="F191" s="62"/>
      <c r="G191" s="26" t="s">
        <v>341</v>
      </c>
    </row>
    <row r="192" spans="2:7" ht="116" outlineLevel="1" x14ac:dyDescent="0.35">
      <c r="B192" s="77"/>
      <c r="C192" s="77"/>
      <c r="D192" s="2" t="s">
        <v>3658</v>
      </c>
      <c r="E192" s="2" t="s">
        <v>4016</v>
      </c>
      <c r="F192" s="62"/>
      <c r="G192" s="26" t="s">
        <v>341</v>
      </c>
    </row>
    <row r="193" spans="2:7" ht="43.5" outlineLevel="1" x14ac:dyDescent="0.35">
      <c r="B193" s="77"/>
      <c r="C193" s="77"/>
      <c r="D193" s="2" t="s">
        <v>2781</v>
      </c>
      <c r="E193" s="2" t="s">
        <v>2790</v>
      </c>
      <c r="F193" s="62"/>
      <c r="G193" s="26" t="s">
        <v>341</v>
      </c>
    </row>
    <row r="194" spans="2:7" ht="72.5" outlineLevel="1" x14ac:dyDescent="0.35">
      <c r="B194" s="77"/>
      <c r="C194" s="77"/>
      <c r="D194" s="2" t="s">
        <v>2782</v>
      </c>
      <c r="E194" s="2" t="s">
        <v>2791</v>
      </c>
      <c r="F194" s="62"/>
      <c r="G194" s="26" t="s">
        <v>341</v>
      </c>
    </row>
    <row r="195" spans="2:7" ht="72.5" outlineLevel="1" x14ac:dyDescent="0.35">
      <c r="B195" s="77"/>
      <c r="C195" s="77"/>
      <c r="D195" s="2" t="s">
        <v>2783</v>
      </c>
      <c r="E195" s="2" t="s">
        <v>2792</v>
      </c>
      <c r="F195" s="62"/>
      <c r="G195" s="26" t="s">
        <v>341</v>
      </c>
    </row>
    <row r="196" spans="2:7" ht="29" outlineLevel="1" x14ac:dyDescent="0.35">
      <c r="B196" s="77"/>
      <c r="C196" s="77"/>
      <c r="D196" s="2" t="s">
        <v>3169</v>
      </c>
      <c r="E196" s="2" t="s">
        <v>804</v>
      </c>
      <c r="F196" s="62"/>
      <c r="G196" s="26" t="s">
        <v>341</v>
      </c>
    </row>
    <row r="197" spans="2:7" ht="58" outlineLevel="1" x14ac:dyDescent="0.35">
      <c r="B197" s="77"/>
      <c r="C197" s="77"/>
      <c r="D197" s="2" t="s">
        <v>3170</v>
      </c>
      <c r="E197" s="2" t="s">
        <v>1322</v>
      </c>
      <c r="F197" s="62"/>
      <c r="G197" s="26" t="s">
        <v>341</v>
      </c>
    </row>
    <row r="198" spans="2:7" x14ac:dyDescent="0.35">
      <c r="B198" s="77"/>
      <c r="C198" s="77" t="s">
        <v>3036</v>
      </c>
      <c r="D198" s="77"/>
      <c r="E198" s="77"/>
      <c r="F198" s="62"/>
      <c r="G198" s="23">
        <f>COUNTIF(G199:G228,"Yes")</f>
        <v>27</v>
      </c>
    </row>
    <row r="199" spans="2:7" x14ac:dyDescent="0.35">
      <c r="B199" s="77"/>
      <c r="C199" s="77"/>
      <c r="D199" s="81" t="s">
        <v>3037</v>
      </c>
      <c r="E199" s="77"/>
      <c r="G199" s="78"/>
    </row>
    <row r="200" spans="2:7" ht="43.5" outlineLevel="1" x14ac:dyDescent="0.35">
      <c r="B200" s="77"/>
      <c r="C200" s="77"/>
      <c r="D200" s="2" t="s">
        <v>5155</v>
      </c>
      <c r="E200" s="2" t="s">
        <v>5144</v>
      </c>
      <c r="G200" s="26" t="s">
        <v>341</v>
      </c>
    </row>
    <row r="201" spans="2:7" ht="43.5" outlineLevel="1" x14ac:dyDescent="0.35">
      <c r="B201" s="77"/>
      <c r="C201" s="77"/>
      <c r="D201" s="2" t="s">
        <v>5139</v>
      </c>
      <c r="E201" s="2" t="s">
        <v>5145</v>
      </c>
      <c r="G201" s="26" t="s">
        <v>341</v>
      </c>
    </row>
    <row r="202" spans="2:7" ht="145" outlineLevel="1" x14ac:dyDescent="0.35">
      <c r="B202" s="77"/>
      <c r="C202" s="77"/>
      <c r="D202" s="2" t="s">
        <v>4965</v>
      </c>
      <c r="E202" s="2" t="s">
        <v>4971</v>
      </c>
      <c r="G202" s="26" t="s">
        <v>341</v>
      </c>
    </row>
    <row r="203" spans="2:7" ht="43.5" outlineLevel="1" x14ac:dyDescent="0.35">
      <c r="B203" s="77"/>
      <c r="C203" s="77"/>
      <c r="D203" s="2" t="s">
        <v>5140</v>
      </c>
      <c r="E203" s="2" t="s">
        <v>5146</v>
      </c>
      <c r="G203" s="26" t="s">
        <v>341</v>
      </c>
    </row>
    <row r="204" spans="2:7" ht="58" outlineLevel="1" x14ac:dyDescent="0.35">
      <c r="B204" s="77"/>
      <c r="C204" s="77"/>
      <c r="D204" s="2" t="s">
        <v>5141</v>
      </c>
      <c r="E204" s="2" t="s">
        <v>5147</v>
      </c>
      <c r="G204" s="26" t="s">
        <v>341</v>
      </c>
    </row>
    <row r="205" spans="2:7" ht="29" outlineLevel="1" x14ac:dyDescent="0.35">
      <c r="B205" s="77"/>
      <c r="C205" s="77"/>
      <c r="D205" s="2" t="s">
        <v>5515</v>
      </c>
      <c r="E205" s="2" t="s">
        <v>5516</v>
      </c>
      <c r="G205" s="26" t="s">
        <v>341</v>
      </c>
    </row>
    <row r="206" spans="2:7" ht="58" outlineLevel="1" x14ac:dyDescent="0.35">
      <c r="B206" s="77"/>
      <c r="C206" s="77"/>
      <c r="D206" s="2" t="s">
        <v>5517</v>
      </c>
      <c r="E206" s="2" t="s">
        <v>5518</v>
      </c>
      <c r="G206" s="26" t="s">
        <v>341</v>
      </c>
    </row>
    <row r="207" spans="2:7" ht="58" outlineLevel="1" x14ac:dyDescent="0.35">
      <c r="B207" s="77"/>
      <c r="C207" s="77"/>
      <c r="D207" s="2" t="s">
        <v>5519</v>
      </c>
      <c r="E207" s="2" t="s">
        <v>5520</v>
      </c>
      <c r="G207" s="26" t="s">
        <v>341</v>
      </c>
    </row>
    <row r="208" spans="2:7" ht="72.5" outlineLevel="1" x14ac:dyDescent="0.35">
      <c r="B208" s="77"/>
      <c r="C208" s="77"/>
      <c r="D208" s="2" t="s">
        <v>5521</v>
      </c>
      <c r="E208" s="2" t="s">
        <v>5522</v>
      </c>
      <c r="G208" s="26" t="s">
        <v>341</v>
      </c>
    </row>
    <row r="209" spans="2:7" ht="58" outlineLevel="1" x14ac:dyDescent="0.35">
      <c r="B209" s="77"/>
      <c r="C209" s="77"/>
      <c r="D209" s="2" t="s">
        <v>4966</v>
      </c>
      <c r="E209" s="2" t="s">
        <v>4999</v>
      </c>
      <c r="G209" s="26" t="s">
        <v>341</v>
      </c>
    </row>
    <row r="210" spans="2:7" ht="58" outlineLevel="1" x14ac:dyDescent="0.35">
      <c r="B210" s="77"/>
      <c r="C210" s="77"/>
      <c r="D210" s="2" t="s">
        <v>4967</v>
      </c>
      <c r="E210" s="2" t="s">
        <v>5000</v>
      </c>
      <c r="G210" s="26" t="s">
        <v>341</v>
      </c>
    </row>
    <row r="211" spans="2:7" outlineLevel="1" x14ac:dyDescent="0.35">
      <c r="B211" s="77"/>
      <c r="C211" s="77"/>
      <c r="D211" s="2" t="s">
        <v>4968</v>
      </c>
      <c r="E211" s="2" t="s">
        <v>4972</v>
      </c>
      <c r="G211" s="26" t="s">
        <v>341</v>
      </c>
    </row>
    <row r="212" spans="2:7" ht="58" outlineLevel="1" x14ac:dyDescent="0.35">
      <c r="B212" s="77"/>
      <c r="C212" s="77"/>
      <c r="D212" s="2" t="s">
        <v>5210</v>
      </c>
      <c r="E212" s="2" t="s">
        <v>5214</v>
      </c>
      <c r="G212" s="26" t="s">
        <v>341</v>
      </c>
    </row>
    <row r="213" spans="2:7" ht="87" outlineLevel="1" x14ac:dyDescent="0.35">
      <c r="B213" s="77"/>
      <c r="C213" s="77"/>
      <c r="D213" s="2" t="s">
        <v>5142</v>
      </c>
      <c r="E213" s="2" t="s">
        <v>5148</v>
      </c>
      <c r="G213" s="26" t="s">
        <v>341</v>
      </c>
    </row>
    <row r="214" spans="2:7" ht="58" outlineLevel="1" x14ac:dyDescent="0.35">
      <c r="B214" s="77"/>
      <c r="C214" s="77"/>
      <c r="D214" s="2" t="s">
        <v>5143</v>
      </c>
      <c r="E214" s="2" t="s">
        <v>5149</v>
      </c>
      <c r="G214" s="26" t="s">
        <v>341</v>
      </c>
    </row>
    <row r="215" spans="2:7" ht="29" outlineLevel="1" x14ac:dyDescent="0.35">
      <c r="B215" s="77"/>
      <c r="C215" s="77"/>
      <c r="D215" s="2" t="s">
        <v>4969</v>
      </c>
      <c r="E215" s="2" t="s">
        <v>4973</v>
      </c>
      <c r="G215" s="26" t="s">
        <v>341</v>
      </c>
    </row>
    <row r="216" spans="2:7" ht="29" outlineLevel="1" x14ac:dyDescent="0.35">
      <c r="B216" s="77"/>
      <c r="C216" s="77"/>
      <c r="D216" s="2" t="s">
        <v>5211</v>
      </c>
      <c r="E216" s="2" t="s">
        <v>5215</v>
      </c>
      <c r="G216" s="26" t="s">
        <v>341</v>
      </c>
    </row>
    <row r="217" spans="2:7" ht="29" outlineLevel="1" x14ac:dyDescent="0.35">
      <c r="B217" s="77"/>
      <c r="C217" s="77"/>
      <c r="D217" s="2" t="s">
        <v>5212</v>
      </c>
      <c r="E217" s="2" t="s">
        <v>5216</v>
      </c>
      <c r="G217" s="26" t="s">
        <v>341</v>
      </c>
    </row>
    <row r="218" spans="2:7" ht="29" outlineLevel="1" x14ac:dyDescent="0.35">
      <c r="B218" s="77"/>
      <c r="C218" s="77"/>
      <c r="D218" s="2" t="s">
        <v>5666</v>
      </c>
      <c r="E218" s="2" t="s">
        <v>5667</v>
      </c>
      <c r="G218" s="26" t="s">
        <v>341</v>
      </c>
    </row>
    <row r="219" spans="2:7" ht="101.5" outlineLevel="1" x14ac:dyDescent="0.35">
      <c r="B219" s="77"/>
      <c r="C219" s="77"/>
      <c r="D219" s="2" t="s">
        <v>5668</v>
      </c>
      <c r="E219" s="2" t="s">
        <v>5669</v>
      </c>
      <c r="G219" s="26" t="s">
        <v>341</v>
      </c>
    </row>
    <row r="220" spans="2:7" ht="29" outlineLevel="1" x14ac:dyDescent="0.35">
      <c r="B220" s="77"/>
      <c r="C220" s="77"/>
      <c r="D220" s="2" t="s">
        <v>5213</v>
      </c>
      <c r="E220" s="2" t="s">
        <v>5217</v>
      </c>
      <c r="G220" s="26" t="s">
        <v>341</v>
      </c>
    </row>
    <row r="221" spans="2:7" ht="43.5" outlineLevel="1" x14ac:dyDescent="0.35">
      <c r="B221" s="77"/>
      <c r="C221" s="77"/>
      <c r="D221" s="2" t="s">
        <v>4970</v>
      </c>
      <c r="E221" s="2" t="s">
        <v>4974</v>
      </c>
      <c r="G221" s="26" t="s">
        <v>341</v>
      </c>
    </row>
    <row r="222" spans="2:7" ht="72.5" outlineLevel="1" x14ac:dyDescent="0.35">
      <c r="B222" s="77"/>
      <c r="C222" s="77"/>
      <c r="D222" s="2" t="s">
        <v>3180</v>
      </c>
      <c r="E222" s="2" t="s">
        <v>3207</v>
      </c>
      <c r="G222" s="26" t="s">
        <v>341</v>
      </c>
    </row>
    <row r="223" spans="2:7" x14ac:dyDescent="0.35">
      <c r="B223" s="77"/>
      <c r="C223" s="77"/>
      <c r="D223" s="81" t="s">
        <v>3038</v>
      </c>
      <c r="E223" s="77"/>
      <c r="F223" s="62"/>
      <c r="G223" s="78"/>
    </row>
    <row r="224" spans="2:7" ht="101.5" outlineLevel="1" x14ac:dyDescent="0.35">
      <c r="B224" s="77"/>
      <c r="C224" s="77"/>
      <c r="D224" s="2" t="s">
        <v>3039</v>
      </c>
      <c r="E224" s="2" t="s">
        <v>3041</v>
      </c>
      <c r="F224" s="62"/>
      <c r="G224" s="26" t="s">
        <v>341</v>
      </c>
    </row>
    <row r="225" spans="2:7" ht="101.5" outlineLevel="1" x14ac:dyDescent="0.35">
      <c r="B225" s="77"/>
      <c r="C225" s="77"/>
      <c r="D225" s="2" t="s">
        <v>3040</v>
      </c>
      <c r="E225" s="2" t="s">
        <v>3042</v>
      </c>
      <c r="F225" s="62"/>
      <c r="G225" s="26" t="s">
        <v>341</v>
      </c>
    </row>
    <row r="226" spans="2:7" x14ac:dyDescent="0.35">
      <c r="B226" s="77"/>
      <c r="C226" s="77"/>
      <c r="D226" s="81" t="s">
        <v>3219</v>
      </c>
      <c r="E226" s="77"/>
      <c r="F226" s="62"/>
      <c r="G226" s="78"/>
    </row>
    <row r="227" spans="2:7" ht="43.5" outlineLevel="1" x14ac:dyDescent="0.35">
      <c r="B227" s="77"/>
      <c r="C227" s="77"/>
      <c r="D227" s="2" t="s">
        <v>3220</v>
      </c>
      <c r="E227" s="2" t="s">
        <v>3222</v>
      </c>
      <c r="F227" s="62"/>
      <c r="G227" s="26" t="s">
        <v>341</v>
      </c>
    </row>
    <row r="228" spans="2:7" ht="43.5" outlineLevel="1" x14ac:dyDescent="0.35">
      <c r="B228" s="77"/>
      <c r="C228" s="77"/>
      <c r="D228" s="2" t="s">
        <v>3221</v>
      </c>
      <c r="E228" s="2" t="s">
        <v>3227</v>
      </c>
      <c r="F228" s="62"/>
      <c r="G228" s="26" t="s">
        <v>341</v>
      </c>
    </row>
    <row r="229" spans="2:7" x14ac:dyDescent="0.35">
      <c r="B229" s="77"/>
      <c r="C229" s="77" t="s">
        <v>3084</v>
      </c>
      <c r="D229" s="77"/>
      <c r="E229" s="77"/>
      <c r="F229" s="62"/>
      <c r="G229" s="23">
        <f>COUNTIF(G230:G246,"Yes")</f>
        <v>13</v>
      </c>
    </row>
    <row r="230" spans="2:7" x14ac:dyDescent="0.35">
      <c r="B230" s="77"/>
      <c r="C230" s="77"/>
      <c r="D230" s="81" t="s">
        <v>3085</v>
      </c>
      <c r="E230" s="77"/>
      <c r="G230" s="78"/>
    </row>
    <row r="231" spans="2:7" ht="29" outlineLevel="1" x14ac:dyDescent="0.35">
      <c r="B231" s="77"/>
      <c r="C231" s="77"/>
      <c r="D231" s="2" t="s">
        <v>3088</v>
      </c>
      <c r="E231" s="2" t="s">
        <v>3089</v>
      </c>
      <c r="G231" s="26" t="s">
        <v>341</v>
      </c>
    </row>
    <row r="232" spans="2:7" ht="58" outlineLevel="1" x14ac:dyDescent="0.35">
      <c r="B232" s="77"/>
      <c r="C232" s="77"/>
      <c r="D232" s="2" t="s">
        <v>3090</v>
      </c>
      <c r="E232" s="2" t="s">
        <v>3105</v>
      </c>
      <c r="G232" s="26" t="s">
        <v>341</v>
      </c>
    </row>
    <row r="233" spans="2:7" x14ac:dyDescent="0.35">
      <c r="B233" s="77"/>
      <c r="C233" s="77"/>
      <c r="D233" s="81" t="s">
        <v>3086</v>
      </c>
      <c r="E233" s="77"/>
      <c r="F233" s="62"/>
      <c r="G233" s="78"/>
    </row>
    <row r="234" spans="2:7" ht="29" outlineLevel="1" x14ac:dyDescent="0.35">
      <c r="B234" s="77"/>
      <c r="C234" s="77"/>
      <c r="D234" s="2" t="s">
        <v>3091</v>
      </c>
      <c r="E234" s="2" t="s">
        <v>3092</v>
      </c>
      <c r="F234" s="62"/>
      <c r="G234" s="26" t="s">
        <v>341</v>
      </c>
    </row>
    <row r="235" spans="2:7" outlineLevel="1" x14ac:dyDescent="0.35">
      <c r="B235" s="77"/>
      <c r="C235" s="77"/>
      <c r="D235" s="2" t="s">
        <v>3093</v>
      </c>
      <c r="E235" s="2" t="s">
        <v>2056</v>
      </c>
      <c r="F235" s="62"/>
      <c r="G235" s="26" t="s">
        <v>341</v>
      </c>
    </row>
    <row r="236" spans="2:7" x14ac:dyDescent="0.35">
      <c r="B236" s="77"/>
      <c r="C236" s="77"/>
      <c r="D236" s="81" t="s">
        <v>3087</v>
      </c>
      <c r="E236" s="77"/>
      <c r="F236" s="62"/>
      <c r="G236" s="78"/>
    </row>
    <row r="237" spans="2:7" ht="29" outlineLevel="1" x14ac:dyDescent="0.35">
      <c r="B237" s="77"/>
      <c r="C237" s="77"/>
      <c r="D237" s="2" t="s">
        <v>3094</v>
      </c>
      <c r="E237" s="2" t="s">
        <v>3095</v>
      </c>
      <c r="F237" s="62"/>
      <c r="G237" s="26" t="s">
        <v>341</v>
      </c>
    </row>
    <row r="238" spans="2:7" outlineLevel="1" x14ac:dyDescent="0.35">
      <c r="B238" s="77"/>
      <c r="C238" s="77"/>
      <c r="D238" s="2" t="s">
        <v>3659</v>
      </c>
      <c r="E238" s="2" t="s">
        <v>3096</v>
      </c>
      <c r="F238" s="62"/>
      <c r="G238" s="26" t="s">
        <v>341</v>
      </c>
    </row>
    <row r="239" spans="2:7" ht="43.5" outlineLevel="1" x14ac:dyDescent="0.35">
      <c r="B239" s="77"/>
      <c r="C239" s="77"/>
      <c r="D239" s="2" t="s">
        <v>3097</v>
      </c>
      <c r="E239" s="2" t="s">
        <v>3106</v>
      </c>
      <c r="F239" s="62"/>
      <c r="G239" s="26" t="s">
        <v>341</v>
      </c>
    </row>
    <row r="240" spans="2:7" ht="29" outlineLevel="1" x14ac:dyDescent="0.35">
      <c r="B240" s="77"/>
      <c r="C240" s="77"/>
      <c r="D240" s="2" t="s">
        <v>3643</v>
      </c>
      <c r="E240" s="2" t="s">
        <v>3119</v>
      </c>
      <c r="F240" s="62"/>
      <c r="G240" s="26" t="s">
        <v>341</v>
      </c>
    </row>
    <row r="241" spans="2:7" ht="29" outlineLevel="1" x14ac:dyDescent="0.35">
      <c r="B241" s="77"/>
      <c r="C241" s="77"/>
      <c r="D241" s="2" t="s">
        <v>3117</v>
      </c>
      <c r="E241" s="2" t="s">
        <v>3118</v>
      </c>
      <c r="F241" s="62"/>
      <c r="G241" s="26" t="s">
        <v>341</v>
      </c>
    </row>
    <row r="242" spans="2:7" outlineLevel="1" x14ac:dyDescent="0.35">
      <c r="B242" s="77"/>
      <c r="C242" s="77"/>
      <c r="D242" s="2" t="s">
        <v>3660</v>
      </c>
      <c r="E242" s="2" t="s">
        <v>3098</v>
      </c>
      <c r="F242" s="62"/>
      <c r="G242" s="26" t="s">
        <v>341</v>
      </c>
    </row>
    <row r="243" spans="2:7" ht="29" outlineLevel="1" x14ac:dyDescent="0.35">
      <c r="B243" s="77"/>
      <c r="C243" s="77"/>
      <c r="D243" s="2" t="s">
        <v>3099</v>
      </c>
      <c r="E243" s="2" t="s">
        <v>3107</v>
      </c>
      <c r="F243" s="62"/>
      <c r="G243" s="26" t="s">
        <v>341</v>
      </c>
    </row>
    <row r="244" spans="2:7" x14ac:dyDescent="0.35">
      <c r="B244" s="77"/>
      <c r="C244" s="77"/>
      <c r="D244" s="81" t="s">
        <v>3126</v>
      </c>
      <c r="E244" s="77"/>
      <c r="F244" s="62"/>
      <c r="G244" s="78"/>
    </row>
    <row r="245" spans="2:7" ht="29" outlineLevel="1" x14ac:dyDescent="0.35">
      <c r="B245" s="77"/>
      <c r="C245" s="77"/>
      <c r="D245" s="2" t="s">
        <v>3135</v>
      </c>
      <c r="E245" s="2" t="s">
        <v>3136</v>
      </c>
      <c r="F245" s="62"/>
      <c r="G245" s="26" t="s">
        <v>341</v>
      </c>
    </row>
    <row r="246" spans="2:7" ht="87" outlineLevel="1" x14ac:dyDescent="0.35">
      <c r="B246" s="77"/>
      <c r="C246" s="77"/>
      <c r="D246" s="2" t="s">
        <v>3644</v>
      </c>
      <c r="E246" s="2" t="s">
        <v>3920</v>
      </c>
      <c r="F246" s="62"/>
      <c r="G246" s="26" t="s">
        <v>341</v>
      </c>
    </row>
    <row r="247" spans="2:7" x14ac:dyDescent="0.35">
      <c r="B247" s="77"/>
      <c r="C247" s="77" t="s">
        <v>3137</v>
      </c>
      <c r="D247" s="77"/>
      <c r="E247" s="77"/>
      <c r="F247" s="62"/>
      <c r="G247" s="23">
        <f>COUNTIF(G248:G283,"Yes")</f>
        <v>31</v>
      </c>
    </row>
    <row r="248" spans="2:7" x14ac:dyDescent="0.35">
      <c r="B248" s="77"/>
      <c r="C248" s="77"/>
      <c r="D248" s="81" t="s">
        <v>3138</v>
      </c>
      <c r="E248" s="77"/>
      <c r="G248" s="78"/>
    </row>
    <row r="249" spans="2:7" ht="58" outlineLevel="1" x14ac:dyDescent="0.35">
      <c r="B249" s="77"/>
      <c r="C249" s="77"/>
      <c r="D249" s="2" t="s">
        <v>3142</v>
      </c>
      <c r="E249" s="2" t="s">
        <v>3154</v>
      </c>
      <c r="G249" s="26" t="s">
        <v>341</v>
      </c>
    </row>
    <row r="250" spans="2:7" ht="29" outlineLevel="1" x14ac:dyDescent="0.35">
      <c r="B250" s="77"/>
      <c r="C250" s="77"/>
      <c r="D250" s="2" t="s">
        <v>3143</v>
      </c>
      <c r="E250" s="2" t="s">
        <v>3153</v>
      </c>
      <c r="G250" s="26" t="s">
        <v>341</v>
      </c>
    </row>
    <row r="251" spans="2:7" x14ac:dyDescent="0.35">
      <c r="B251" s="77"/>
      <c r="C251" s="77"/>
      <c r="D251" s="81" t="s">
        <v>3139</v>
      </c>
      <c r="E251" s="77"/>
      <c r="F251" s="62"/>
      <c r="G251" s="78"/>
    </row>
    <row r="252" spans="2:7" ht="58" outlineLevel="1" x14ac:dyDescent="0.35">
      <c r="B252" s="77"/>
      <c r="C252" s="77"/>
      <c r="D252" s="2" t="s">
        <v>3144</v>
      </c>
      <c r="E252" s="2" t="s">
        <v>3152</v>
      </c>
      <c r="F252" s="62"/>
      <c r="G252" s="26" t="s">
        <v>341</v>
      </c>
    </row>
    <row r="253" spans="2:7" x14ac:dyDescent="0.35">
      <c r="B253" s="77"/>
      <c r="C253" s="77"/>
      <c r="D253" s="81" t="s">
        <v>3140</v>
      </c>
      <c r="E253" s="77"/>
      <c r="F253" s="62"/>
      <c r="G253" s="78"/>
    </row>
    <row r="254" spans="2:7" ht="29" outlineLevel="1" x14ac:dyDescent="0.35">
      <c r="B254" s="77"/>
      <c r="C254" s="77"/>
      <c r="D254" s="2" t="s">
        <v>3175</v>
      </c>
      <c r="E254" s="2" t="s">
        <v>3095</v>
      </c>
      <c r="F254" s="62"/>
      <c r="G254" s="26" t="s">
        <v>341</v>
      </c>
    </row>
    <row r="255" spans="2:7" ht="43.5" outlineLevel="1" x14ac:dyDescent="0.35">
      <c r="B255" s="77"/>
      <c r="C255" s="77"/>
      <c r="D255" s="2" t="s">
        <v>3661</v>
      </c>
      <c r="E255" s="2" t="s">
        <v>3195</v>
      </c>
      <c r="F255" s="62"/>
      <c r="G255" s="26" t="s">
        <v>341</v>
      </c>
    </row>
    <row r="256" spans="2:7" ht="29" outlineLevel="1" x14ac:dyDescent="0.35">
      <c r="B256" s="77"/>
      <c r="C256" s="77"/>
      <c r="D256" s="2" t="s">
        <v>3145</v>
      </c>
      <c r="E256" s="2" t="s">
        <v>3151</v>
      </c>
      <c r="F256" s="62"/>
      <c r="G256" s="26" t="s">
        <v>341</v>
      </c>
    </row>
    <row r="257" spans="2:7" ht="43.5" outlineLevel="1" x14ac:dyDescent="0.35">
      <c r="B257" s="77"/>
      <c r="C257" s="77"/>
      <c r="D257" s="2" t="s">
        <v>3268</v>
      </c>
      <c r="E257" s="2" t="s">
        <v>3269</v>
      </c>
      <c r="F257" s="62"/>
      <c r="G257" s="26" t="s">
        <v>341</v>
      </c>
    </row>
    <row r="258" spans="2:7" ht="29" outlineLevel="1" x14ac:dyDescent="0.35">
      <c r="B258" s="77"/>
      <c r="C258" s="77"/>
      <c r="D258" s="2" t="s">
        <v>3645</v>
      </c>
      <c r="E258" s="2" t="s">
        <v>3907</v>
      </c>
      <c r="F258" s="62"/>
      <c r="G258" s="26" t="s">
        <v>341</v>
      </c>
    </row>
    <row r="259" spans="2:7" ht="29" outlineLevel="1" x14ac:dyDescent="0.35">
      <c r="B259" s="77"/>
      <c r="C259" s="77"/>
      <c r="D259" s="2" t="s">
        <v>3196</v>
      </c>
      <c r="E259" s="2" t="s">
        <v>3197</v>
      </c>
      <c r="F259" s="62"/>
      <c r="G259" s="26" t="s">
        <v>341</v>
      </c>
    </row>
    <row r="260" spans="2:7" ht="43.5" outlineLevel="1" x14ac:dyDescent="0.35">
      <c r="B260" s="77"/>
      <c r="C260" s="77"/>
      <c r="D260" s="2" t="s">
        <v>3174</v>
      </c>
      <c r="E260" s="2" t="s">
        <v>3201</v>
      </c>
      <c r="F260" s="62"/>
      <c r="G260" s="26" t="s">
        <v>341</v>
      </c>
    </row>
    <row r="261" spans="2:7" ht="29" outlineLevel="1" x14ac:dyDescent="0.35">
      <c r="B261" s="77"/>
      <c r="C261" s="77"/>
      <c r="D261" s="2" t="s">
        <v>3198</v>
      </c>
      <c r="E261" s="2" t="s">
        <v>3118</v>
      </c>
      <c r="F261" s="62"/>
      <c r="G261" s="26" t="s">
        <v>341</v>
      </c>
    </row>
    <row r="262" spans="2:7" ht="72.5" outlineLevel="1" x14ac:dyDescent="0.35">
      <c r="B262" s="77"/>
      <c r="C262" s="77"/>
      <c r="D262" s="2" t="s">
        <v>3176</v>
      </c>
      <c r="E262" s="2" t="s">
        <v>3177</v>
      </c>
      <c r="F262" s="62"/>
      <c r="G262" s="26" t="s">
        <v>341</v>
      </c>
    </row>
    <row r="263" spans="2:7" ht="43.5" outlineLevel="1" x14ac:dyDescent="0.35">
      <c r="B263" s="77"/>
      <c r="C263" s="77"/>
      <c r="D263" s="2" t="s">
        <v>3236</v>
      </c>
      <c r="E263" s="2" t="s">
        <v>3239</v>
      </c>
      <c r="F263" s="62"/>
      <c r="G263" s="26" t="s">
        <v>341</v>
      </c>
    </row>
    <row r="264" spans="2:7" ht="29" outlineLevel="1" x14ac:dyDescent="0.35">
      <c r="B264" s="77"/>
      <c r="C264" s="77"/>
      <c r="D264" s="2" t="s">
        <v>3233</v>
      </c>
      <c r="E264" s="2" t="s">
        <v>3237</v>
      </c>
      <c r="F264" s="62"/>
      <c r="G264" s="26" t="s">
        <v>341</v>
      </c>
    </row>
    <row r="265" spans="2:7" ht="58" outlineLevel="1" x14ac:dyDescent="0.35">
      <c r="B265" s="77"/>
      <c r="C265" s="77"/>
      <c r="D265" s="2" t="s">
        <v>3234</v>
      </c>
      <c r="E265" s="2" t="s">
        <v>3238</v>
      </c>
      <c r="F265" s="62"/>
      <c r="G265" s="26" t="s">
        <v>341</v>
      </c>
    </row>
    <row r="266" spans="2:7" ht="58" outlineLevel="1" x14ac:dyDescent="0.35">
      <c r="B266" s="77"/>
      <c r="C266" s="77"/>
      <c r="D266" s="2" t="s">
        <v>3235</v>
      </c>
      <c r="E266" s="21" t="s">
        <v>4213</v>
      </c>
      <c r="F266" s="62"/>
      <c r="G266" s="26" t="s">
        <v>341</v>
      </c>
    </row>
    <row r="267" spans="2:7" ht="29" outlineLevel="1" x14ac:dyDescent="0.35">
      <c r="B267" s="77"/>
      <c r="C267" s="77"/>
      <c r="D267" s="2" t="s">
        <v>3223</v>
      </c>
      <c r="E267" s="2" t="s">
        <v>3225</v>
      </c>
      <c r="F267" s="62"/>
      <c r="G267" s="26" t="s">
        <v>341</v>
      </c>
    </row>
    <row r="268" spans="2:7" ht="29" outlineLevel="1" x14ac:dyDescent="0.35">
      <c r="B268" s="77"/>
      <c r="C268" s="77"/>
      <c r="D268" s="2" t="s">
        <v>3224</v>
      </c>
      <c r="E268" s="2" t="s">
        <v>4019</v>
      </c>
      <c r="F268" s="62"/>
      <c r="G268" s="26" t="s">
        <v>341</v>
      </c>
    </row>
    <row r="269" spans="2:7" ht="43.5" outlineLevel="1" x14ac:dyDescent="0.35">
      <c r="B269" s="77"/>
      <c r="C269" s="77"/>
      <c r="D269" s="2" t="s">
        <v>3199</v>
      </c>
      <c r="E269" s="2" t="s">
        <v>3178</v>
      </c>
      <c r="F269" s="62"/>
      <c r="G269" s="26" t="s">
        <v>341</v>
      </c>
    </row>
    <row r="270" spans="2:7" ht="29" outlineLevel="1" x14ac:dyDescent="0.35">
      <c r="B270" s="77"/>
      <c r="C270" s="77"/>
      <c r="D270" s="2" t="s">
        <v>3173</v>
      </c>
      <c r="E270" s="2" t="s">
        <v>3179</v>
      </c>
      <c r="F270" s="62"/>
      <c r="G270" s="26" t="s">
        <v>341</v>
      </c>
    </row>
    <row r="271" spans="2:7" ht="29" outlineLevel="1" x14ac:dyDescent="0.35">
      <c r="B271" s="77"/>
      <c r="C271" s="77"/>
      <c r="D271" s="2" t="s">
        <v>3146</v>
      </c>
      <c r="E271" s="2" t="s">
        <v>3150</v>
      </c>
      <c r="F271" s="62"/>
      <c r="G271" s="26" t="s">
        <v>341</v>
      </c>
    </row>
    <row r="272" spans="2:7" ht="43.5" outlineLevel="1" x14ac:dyDescent="0.35">
      <c r="B272" s="77"/>
      <c r="C272" s="77"/>
      <c r="D272" s="2" t="s">
        <v>3662</v>
      </c>
      <c r="E272" s="2" t="s">
        <v>1773</v>
      </c>
      <c r="F272" s="62"/>
      <c r="G272" s="26" t="s">
        <v>341</v>
      </c>
    </row>
    <row r="273" spans="2:7" x14ac:dyDescent="0.35">
      <c r="B273" s="77"/>
      <c r="C273" s="77"/>
      <c r="D273" s="81" t="s">
        <v>3141</v>
      </c>
      <c r="E273" s="77"/>
      <c r="F273" s="62"/>
      <c r="G273" s="78"/>
    </row>
    <row r="274" spans="2:7" ht="87" outlineLevel="1" x14ac:dyDescent="0.35">
      <c r="B274" s="77"/>
      <c r="C274" s="77"/>
      <c r="D274" s="2" t="s">
        <v>3646</v>
      </c>
      <c r="E274" s="2" t="s">
        <v>3919</v>
      </c>
      <c r="F274" s="62"/>
      <c r="G274" s="26" t="s">
        <v>341</v>
      </c>
    </row>
    <row r="275" spans="2:7" ht="72.5" outlineLevel="1" x14ac:dyDescent="0.35">
      <c r="B275" s="77"/>
      <c r="C275" s="77"/>
      <c r="D275" s="2" t="s">
        <v>3147</v>
      </c>
      <c r="E275" s="2" t="s">
        <v>3149</v>
      </c>
      <c r="F275" s="62"/>
      <c r="G275" s="26" t="s">
        <v>341</v>
      </c>
    </row>
    <row r="276" spans="2:7" ht="43.5" outlineLevel="1" x14ac:dyDescent="0.35">
      <c r="B276" s="77"/>
      <c r="C276" s="77"/>
      <c r="D276" s="2" t="s">
        <v>3663</v>
      </c>
      <c r="E276" s="2" t="s">
        <v>3148</v>
      </c>
      <c r="F276" s="62"/>
      <c r="G276" s="26" t="s">
        <v>341</v>
      </c>
    </row>
    <row r="277" spans="2:7" ht="43.5" outlineLevel="1" x14ac:dyDescent="0.35">
      <c r="B277" s="77"/>
      <c r="C277" s="77"/>
      <c r="D277" s="79" t="s">
        <v>3232</v>
      </c>
      <c r="E277" s="2" t="s">
        <v>3259</v>
      </c>
      <c r="F277" s="62"/>
      <c r="G277" s="26" t="s">
        <v>341</v>
      </c>
    </row>
    <row r="278" spans="2:7" x14ac:dyDescent="0.35">
      <c r="B278" s="77"/>
      <c r="C278" s="77"/>
      <c r="D278" s="81" t="s">
        <v>3229</v>
      </c>
      <c r="E278" s="77"/>
      <c r="F278" s="62"/>
      <c r="G278" s="78"/>
    </row>
    <row r="279" spans="2:7" ht="29" outlineLevel="1" x14ac:dyDescent="0.35">
      <c r="B279" s="77"/>
      <c r="C279" s="77"/>
      <c r="D279" s="2" t="s">
        <v>3270</v>
      </c>
      <c r="E279" s="2" t="s">
        <v>3271</v>
      </c>
      <c r="F279" s="62"/>
      <c r="G279" s="26" t="s">
        <v>341</v>
      </c>
    </row>
    <row r="280" spans="2:7" ht="31" customHeight="1" outlineLevel="1" x14ac:dyDescent="0.35">
      <c r="B280" s="77"/>
      <c r="C280" s="77"/>
      <c r="D280" s="2" t="s">
        <v>3272</v>
      </c>
      <c r="E280" s="2" t="s">
        <v>3273</v>
      </c>
      <c r="F280" s="62"/>
      <c r="G280" s="26" t="s">
        <v>341</v>
      </c>
    </row>
    <row r="281" spans="2:7" ht="29" outlineLevel="1" x14ac:dyDescent="0.35">
      <c r="B281" s="77"/>
      <c r="C281" s="77"/>
      <c r="D281" s="2" t="s">
        <v>3664</v>
      </c>
      <c r="E281" s="2" t="s">
        <v>3274</v>
      </c>
      <c r="F281" s="62"/>
      <c r="G281" s="26" t="s">
        <v>341</v>
      </c>
    </row>
    <row r="282" spans="2:7" ht="43.5" outlineLevel="1" x14ac:dyDescent="0.35">
      <c r="B282" s="77"/>
      <c r="C282" s="77"/>
      <c r="D282" s="2" t="s">
        <v>3230</v>
      </c>
      <c r="E282" s="2" t="s">
        <v>3231</v>
      </c>
      <c r="F282" s="62"/>
      <c r="G282" s="26" t="s">
        <v>341</v>
      </c>
    </row>
    <row r="283" spans="2:7" ht="29" outlineLevel="1" x14ac:dyDescent="0.35">
      <c r="B283" s="77"/>
      <c r="C283" s="77"/>
      <c r="D283" s="2" t="s">
        <v>3275</v>
      </c>
      <c r="E283" s="2" t="s">
        <v>1459</v>
      </c>
      <c r="F283" s="62"/>
      <c r="G283" s="26" t="s">
        <v>341</v>
      </c>
    </row>
    <row r="284" spans="2:7" x14ac:dyDescent="0.35">
      <c r="B284" s="77"/>
      <c r="C284" s="77" t="s">
        <v>3276</v>
      </c>
      <c r="D284" s="77"/>
      <c r="E284" s="77"/>
      <c r="F284" s="62"/>
      <c r="G284" s="23">
        <f>COUNTIF(G285:G286,"Yes")</f>
        <v>1</v>
      </c>
    </row>
    <row r="285" spans="2:7" x14ac:dyDescent="0.35">
      <c r="B285" s="77"/>
      <c r="C285" s="77"/>
      <c r="D285" s="81" t="s">
        <v>3277</v>
      </c>
      <c r="E285" s="77"/>
      <c r="G285" s="78"/>
    </row>
    <row r="286" spans="2:7" ht="29" outlineLevel="1" x14ac:dyDescent="0.35">
      <c r="B286" s="77"/>
      <c r="C286" s="77"/>
      <c r="D286" s="2" t="s">
        <v>3278</v>
      </c>
      <c r="E286" s="2" t="s">
        <v>3279</v>
      </c>
      <c r="G286" s="26" t="s">
        <v>341</v>
      </c>
    </row>
    <row r="287" spans="2:7" x14ac:dyDescent="0.35">
      <c r="B287" s="77"/>
      <c r="C287" s="77" t="s">
        <v>4613</v>
      </c>
      <c r="D287" s="77"/>
      <c r="E287" s="77"/>
      <c r="F287" s="62"/>
      <c r="G287" s="23">
        <f>COUNTIF(G288:G310,"Yes")</f>
        <v>18</v>
      </c>
    </row>
    <row r="288" spans="2:7" x14ac:dyDescent="0.35">
      <c r="B288" s="77"/>
      <c r="C288" s="77"/>
      <c r="D288" s="81" t="s">
        <v>4614</v>
      </c>
      <c r="E288" s="77"/>
      <c r="G288" s="78"/>
    </row>
    <row r="289" spans="2:7" ht="31" customHeight="1" outlineLevel="1" x14ac:dyDescent="0.35">
      <c r="B289" s="77"/>
      <c r="C289" s="77"/>
      <c r="D289" s="2" t="s">
        <v>4616</v>
      </c>
      <c r="E289" s="2" t="s">
        <v>2056</v>
      </c>
      <c r="F289" s="62"/>
      <c r="G289" s="26" t="s">
        <v>341</v>
      </c>
    </row>
    <row r="290" spans="2:7" ht="31" customHeight="1" outlineLevel="1" x14ac:dyDescent="0.35">
      <c r="B290" s="77"/>
      <c r="C290" s="77"/>
      <c r="D290" s="2" t="s">
        <v>5288</v>
      </c>
      <c r="E290" s="2" t="s">
        <v>5289</v>
      </c>
      <c r="F290" s="62"/>
      <c r="G290" s="26" t="s">
        <v>341</v>
      </c>
    </row>
    <row r="291" spans="2:7" outlineLevel="1" x14ac:dyDescent="0.35">
      <c r="B291" s="77"/>
      <c r="C291" s="77"/>
      <c r="D291" s="2" t="s">
        <v>4617</v>
      </c>
      <c r="E291" s="2" t="s">
        <v>4619</v>
      </c>
      <c r="F291" s="62"/>
      <c r="G291" s="26" t="s">
        <v>341</v>
      </c>
    </row>
    <row r="292" spans="2:7" x14ac:dyDescent="0.35">
      <c r="B292" s="77"/>
      <c r="C292" s="77"/>
      <c r="D292" s="81" t="s">
        <v>4615</v>
      </c>
      <c r="E292" s="77"/>
      <c r="F292" s="62"/>
      <c r="G292" s="78"/>
    </row>
    <row r="293" spans="2:7" ht="43.5" outlineLevel="1" x14ac:dyDescent="0.35">
      <c r="B293" s="77"/>
      <c r="C293" s="77"/>
      <c r="D293" s="2" t="s">
        <v>4618</v>
      </c>
      <c r="E293" s="2" t="s">
        <v>4620</v>
      </c>
      <c r="F293" s="62"/>
      <c r="G293" s="26" t="s">
        <v>341</v>
      </c>
    </row>
    <row r="294" spans="2:7" outlineLevel="1" x14ac:dyDescent="0.35">
      <c r="B294" s="77"/>
      <c r="C294" s="77"/>
      <c r="D294" s="2" t="s">
        <v>5282</v>
      </c>
      <c r="E294" s="2" t="s">
        <v>5285</v>
      </c>
      <c r="F294" s="62"/>
      <c r="G294" s="26" t="s">
        <v>341</v>
      </c>
    </row>
    <row r="295" spans="2:7" ht="29" outlineLevel="1" x14ac:dyDescent="0.35">
      <c r="B295" s="77"/>
      <c r="C295" s="77"/>
      <c r="D295" s="2" t="s">
        <v>5283</v>
      </c>
      <c r="E295" s="2" t="s">
        <v>5286</v>
      </c>
      <c r="F295" s="62"/>
      <c r="G295" s="26" t="s">
        <v>341</v>
      </c>
    </row>
    <row r="296" spans="2:7" ht="29" outlineLevel="1" x14ac:dyDescent="0.35">
      <c r="B296" s="77"/>
      <c r="C296" s="77"/>
      <c r="D296" s="2" t="s">
        <v>5284</v>
      </c>
      <c r="E296" s="2" t="s">
        <v>5287</v>
      </c>
      <c r="F296" s="62"/>
      <c r="G296" s="26" t="s">
        <v>341</v>
      </c>
    </row>
    <row r="297" spans="2:7" ht="43.5" outlineLevel="1" x14ac:dyDescent="0.35">
      <c r="B297" s="77"/>
      <c r="C297" s="77"/>
      <c r="D297" s="2" t="s">
        <v>4978</v>
      </c>
      <c r="E297" s="2" t="s">
        <v>4980</v>
      </c>
      <c r="F297" s="62"/>
      <c r="G297" s="26" t="s">
        <v>341</v>
      </c>
    </row>
    <row r="298" spans="2:7" ht="43.5" outlineLevel="1" x14ac:dyDescent="0.35">
      <c r="B298" s="77"/>
      <c r="C298" s="77"/>
      <c r="D298" s="2" t="s">
        <v>4979</v>
      </c>
      <c r="E298" s="2" t="s">
        <v>4981</v>
      </c>
      <c r="F298" s="62"/>
      <c r="G298" s="26" t="s">
        <v>341</v>
      </c>
    </row>
    <row r="299" spans="2:7" x14ac:dyDescent="0.35">
      <c r="B299" s="77"/>
      <c r="C299" s="77"/>
      <c r="D299" s="81" t="s">
        <v>4975</v>
      </c>
      <c r="E299" s="77"/>
      <c r="F299" s="62"/>
      <c r="G299" s="78"/>
    </row>
    <row r="300" spans="2:7" ht="43.5" outlineLevel="1" x14ac:dyDescent="0.35">
      <c r="B300" s="77"/>
      <c r="C300" s="77"/>
      <c r="D300" s="2" t="s">
        <v>5098</v>
      </c>
      <c r="E300" s="2" t="s">
        <v>5099</v>
      </c>
      <c r="F300" s="62"/>
      <c r="G300" s="26" t="s">
        <v>341</v>
      </c>
    </row>
    <row r="301" spans="2:7" ht="29" outlineLevel="1" x14ac:dyDescent="0.35">
      <c r="B301" s="77"/>
      <c r="C301" s="77"/>
      <c r="D301" s="2" t="s">
        <v>5537</v>
      </c>
      <c r="E301" s="2" t="s">
        <v>5538</v>
      </c>
      <c r="F301" s="62"/>
      <c r="G301" s="26" t="s">
        <v>341</v>
      </c>
    </row>
    <row r="302" spans="2:7" ht="29" outlineLevel="1" x14ac:dyDescent="0.35">
      <c r="B302" s="77"/>
      <c r="C302" s="77"/>
      <c r="D302" s="2" t="s">
        <v>4976</v>
      </c>
      <c r="E302" s="2" t="s">
        <v>4977</v>
      </c>
      <c r="F302" s="62"/>
      <c r="G302" s="26" t="s">
        <v>341</v>
      </c>
    </row>
    <row r="303" spans="2:7" x14ac:dyDescent="0.35">
      <c r="B303" s="77"/>
      <c r="C303" s="77"/>
      <c r="D303" s="81" t="s">
        <v>5150</v>
      </c>
      <c r="E303" s="77"/>
      <c r="F303" s="62"/>
      <c r="G303" s="78"/>
    </row>
    <row r="304" spans="2:7" ht="29" outlineLevel="1" x14ac:dyDescent="0.35">
      <c r="B304" s="77"/>
      <c r="C304" s="77"/>
      <c r="D304" s="2" t="s">
        <v>5152</v>
      </c>
      <c r="E304" s="2" t="s">
        <v>5151</v>
      </c>
      <c r="F304" s="62"/>
      <c r="G304" s="26" t="s">
        <v>341</v>
      </c>
    </row>
    <row r="305" spans="2:7" x14ac:dyDescent="0.35">
      <c r="B305" s="77"/>
      <c r="C305" s="77"/>
      <c r="D305" s="81" t="s">
        <v>5290</v>
      </c>
      <c r="E305" s="77"/>
      <c r="F305" s="62"/>
      <c r="G305" s="78"/>
    </row>
    <row r="306" spans="2:7" ht="29" outlineLevel="1" x14ac:dyDescent="0.35">
      <c r="B306" s="77"/>
      <c r="C306" s="77"/>
      <c r="D306" s="2" t="s">
        <v>5291</v>
      </c>
      <c r="E306" s="2" t="s">
        <v>5293</v>
      </c>
      <c r="F306" s="62"/>
      <c r="G306" s="26" t="s">
        <v>341</v>
      </c>
    </row>
    <row r="307" spans="2:7" ht="43.5" outlineLevel="1" x14ac:dyDescent="0.35">
      <c r="B307" s="77"/>
      <c r="C307" s="77"/>
      <c r="D307" s="2" t="s">
        <v>5292</v>
      </c>
      <c r="E307" s="2" t="s">
        <v>5294</v>
      </c>
      <c r="F307" s="62"/>
      <c r="G307" s="26" t="s">
        <v>341</v>
      </c>
    </row>
    <row r="308" spans="2:7" ht="29" outlineLevel="1" x14ac:dyDescent="0.35">
      <c r="B308" s="77"/>
      <c r="C308" s="77"/>
      <c r="D308" s="2" t="s">
        <v>5531</v>
      </c>
      <c r="E308" s="2" t="s">
        <v>5534</v>
      </c>
      <c r="F308" s="62"/>
      <c r="G308" s="26" t="s">
        <v>341</v>
      </c>
    </row>
    <row r="309" spans="2:7" outlineLevel="1" x14ac:dyDescent="0.35">
      <c r="B309" s="77"/>
      <c r="C309" s="77"/>
      <c r="D309" s="2" t="s">
        <v>5532</v>
      </c>
      <c r="E309" s="2" t="s">
        <v>5535</v>
      </c>
      <c r="F309" s="62"/>
      <c r="G309" s="26" t="s">
        <v>341</v>
      </c>
    </row>
    <row r="310" spans="2:7" ht="29" outlineLevel="1" x14ac:dyDescent="0.35">
      <c r="B310" s="77"/>
      <c r="C310" s="77"/>
      <c r="D310" s="2" t="s">
        <v>5533</v>
      </c>
      <c r="E310" s="2" t="s">
        <v>5536</v>
      </c>
      <c r="F310" s="62"/>
      <c r="G310" s="26" t="s">
        <v>341</v>
      </c>
    </row>
    <row r="311" spans="2:7" x14ac:dyDescent="0.35">
      <c r="B311" s="77"/>
      <c r="C311" s="77" t="s">
        <v>4797</v>
      </c>
      <c r="D311" s="77"/>
      <c r="E311" s="77"/>
      <c r="F311" s="62"/>
      <c r="G311" s="23">
        <f>COUNTIF(G312:G321,"Yes")</f>
        <v>9</v>
      </c>
    </row>
    <row r="312" spans="2:7" ht="13" customHeight="1" x14ac:dyDescent="0.35">
      <c r="B312" s="77"/>
      <c r="C312" s="77"/>
      <c r="D312" s="81" t="s">
        <v>4798</v>
      </c>
      <c r="E312" s="77"/>
      <c r="G312" s="78"/>
    </row>
    <row r="313" spans="2:7" ht="31" customHeight="1" outlineLevel="1" x14ac:dyDescent="0.35">
      <c r="B313" s="77"/>
      <c r="C313" s="77"/>
      <c r="D313" s="2" t="s">
        <v>4802</v>
      </c>
      <c r="E313" s="2" t="s">
        <v>4799</v>
      </c>
      <c r="F313" s="62"/>
      <c r="G313" s="26" t="s">
        <v>341</v>
      </c>
    </row>
    <row r="314" spans="2:7" ht="29" outlineLevel="1" x14ac:dyDescent="0.35">
      <c r="B314" s="77"/>
      <c r="C314" s="77"/>
      <c r="D314" s="2" t="s">
        <v>4803</v>
      </c>
      <c r="E314" s="2" t="s">
        <v>4800</v>
      </c>
      <c r="F314" s="62"/>
      <c r="G314" s="26" t="s">
        <v>341</v>
      </c>
    </row>
    <row r="315" spans="2:7" outlineLevel="1" x14ac:dyDescent="0.35">
      <c r="B315" s="77"/>
      <c r="C315" s="77"/>
      <c r="D315" s="2" t="s">
        <v>4804</v>
      </c>
      <c r="E315" s="2" t="s">
        <v>4801</v>
      </c>
      <c r="F315" s="62"/>
      <c r="G315" s="26" t="s">
        <v>341</v>
      </c>
    </row>
    <row r="316" spans="2:7" ht="29" outlineLevel="1" x14ac:dyDescent="0.35">
      <c r="B316" s="77"/>
      <c r="C316" s="77"/>
      <c r="D316" s="2" t="s">
        <v>5523</v>
      </c>
      <c r="E316" s="2" t="s">
        <v>5527</v>
      </c>
      <c r="F316" s="62"/>
      <c r="G316" s="26" t="s">
        <v>341</v>
      </c>
    </row>
    <row r="317" spans="2:7" outlineLevel="1" x14ac:dyDescent="0.35">
      <c r="B317" s="77"/>
      <c r="C317" s="77"/>
      <c r="D317" s="2" t="s">
        <v>5524</v>
      </c>
      <c r="E317" s="2" t="s">
        <v>5528</v>
      </c>
      <c r="F317" s="62"/>
      <c r="G317" s="26" t="s">
        <v>341</v>
      </c>
    </row>
    <row r="318" spans="2:7" ht="43.5" outlineLevel="1" x14ac:dyDescent="0.35">
      <c r="B318" s="77"/>
      <c r="C318" s="77"/>
      <c r="D318" s="2" t="s">
        <v>5525</v>
      </c>
      <c r="E318" s="2" t="s">
        <v>5529</v>
      </c>
      <c r="F318" s="62"/>
      <c r="G318" s="26" t="s">
        <v>341</v>
      </c>
    </row>
    <row r="319" spans="2:7" ht="29" outlineLevel="1" x14ac:dyDescent="0.35">
      <c r="B319" s="77"/>
      <c r="C319" s="77"/>
      <c r="D319" s="2" t="s">
        <v>5526</v>
      </c>
      <c r="E319" s="2" t="s">
        <v>5530</v>
      </c>
      <c r="F319" s="62"/>
      <c r="G319" s="26" t="s">
        <v>341</v>
      </c>
    </row>
    <row r="320" spans="2:7" ht="58" outlineLevel="1" x14ac:dyDescent="0.35">
      <c r="B320" s="77"/>
      <c r="C320" s="77"/>
      <c r="D320" s="2" t="s">
        <v>3235</v>
      </c>
      <c r="E320" s="21" t="s">
        <v>4213</v>
      </c>
      <c r="F320" s="62"/>
      <c r="G320" s="26" t="s">
        <v>341</v>
      </c>
    </row>
    <row r="321" spans="2:7" ht="72.5" outlineLevel="1" x14ac:dyDescent="0.35">
      <c r="B321" s="77"/>
      <c r="C321" s="77"/>
      <c r="D321" s="2" t="s">
        <v>5087</v>
      </c>
      <c r="E321" s="2" t="s">
        <v>5088</v>
      </c>
      <c r="F321" s="62"/>
      <c r="G321" s="26" t="s">
        <v>341</v>
      </c>
    </row>
    <row r="322" spans="2:7" ht="29" customHeight="1" x14ac:dyDescent="0.35">
      <c r="B322" s="77"/>
      <c r="C322" s="77" t="s">
        <v>5218</v>
      </c>
      <c r="D322" s="77"/>
      <c r="E322" s="77"/>
      <c r="F322" s="62"/>
      <c r="G322" s="23">
        <f>COUNTIF(G323:G332,"Yes")</f>
        <v>8</v>
      </c>
    </row>
    <row r="323" spans="2:7" x14ac:dyDescent="0.35">
      <c r="B323" s="77"/>
      <c r="C323" s="77" t="s">
        <v>5219</v>
      </c>
      <c r="D323" s="79"/>
      <c r="E323" s="77"/>
      <c r="F323" s="62"/>
      <c r="G323" s="77"/>
    </row>
    <row r="324" spans="2:7" ht="13" customHeight="1" x14ac:dyDescent="0.35">
      <c r="B324" s="77"/>
      <c r="C324" s="77"/>
      <c r="D324" s="81" t="s">
        <v>5224</v>
      </c>
      <c r="E324" s="77"/>
      <c r="G324" s="78"/>
    </row>
    <row r="325" spans="2:7" ht="31" customHeight="1" outlineLevel="1" x14ac:dyDescent="0.35">
      <c r="B325" s="77"/>
      <c r="C325" s="77"/>
      <c r="D325" s="2" t="s">
        <v>5670</v>
      </c>
      <c r="E325" s="2" t="s">
        <v>5672</v>
      </c>
      <c r="F325" s="62"/>
      <c r="G325" s="26" t="s">
        <v>341</v>
      </c>
    </row>
    <row r="326" spans="2:7" ht="58" outlineLevel="1" x14ac:dyDescent="0.35">
      <c r="B326" s="77"/>
      <c r="C326" s="77"/>
      <c r="D326" s="2" t="s">
        <v>5671</v>
      </c>
      <c r="E326" s="2" t="s">
        <v>5673</v>
      </c>
      <c r="F326" s="62"/>
      <c r="G326" s="26" t="s">
        <v>341</v>
      </c>
    </row>
    <row r="327" spans="2:7" ht="43.5" outlineLevel="1" x14ac:dyDescent="0.35">
      <c r="B327" s="77"/>
      <c r="C327" s="77"/>
      <c r="D327" s="2" t="s">
        <v>5539</v>
      </c>
      <c r="E327" s="2" t="s">
        <v>5543</v>
      </c>
      <c r="F327" s="62"/>
      <c r="G327" s="26" t="s">
        <v>341</v>
      </c>
    </row>
    <row r="328" spans="2:7" ht="43.5" outlineLevel="1" x14ac:dyDescent="0.35">
      <c r="B328" s="77"/>
      <c r="C328" s="77"/>
      <c r="D328" s="2" t="s">
        <v>5220</v>
      </c>
      <c r="E328" s="2" t="s">
        <v>5222</v>
      </c>
      <c r="F328" s="62"/>
      <c r="G328" s="26" t="s">
        <v>341</v>
      </c>
    </row>
    <row r="329" spans="2:7" ht="101.5" outlineLevel="1" x14ac:dyDescent="0.35">
      <c r="B329" s="77"/>
      <c r="C329" s="77"/>
      <c r="D329" s="2" t="s">
        <v>5221</v>
      </c>
      <c r="E329" s="2" t="s">
        <v>5223</v>
      </c>
      <c r="F329" s="62"/>
      <c r="G329" s="26" t="s">
        <v>341</v>
      </c>
    </row>
    <row r="330" spans="2:7" ht="29" outlineLevel="1" x14ac:dyDescent="0.35">
      <c r="B330" s="77"/>
      <c r="C330" s="77"/>
      <c r="D330" s="2" t="s">
        <v>5540</v>
      </c>
      <c r="E330" s="2" t="s">
        <v>5544</v>
      </c>
      <c r="F330" s="62"/>
      <c r="G330" s="26" t="s">
        <v>341</v>
      </c>
    </row>
    <row r="331" spans="2:7" ht="43.5" outlineLevel="1" x14ac:dyDescent="0.35">
      <c r="B331" s="77"/>
      <c r="C331" s="77"/>
      <c r="D331" s="2" t="s">
        <v>5541</v>
      </c>
      <c r="E331" s="2" t="s">
        <v>5545</v>
      </c>
      <c r="F331" s="62"/>
      <c r="G331" s="26" t="s">
        <v>341</v>
      </c>
    </row>
    <row r="332" spans="2:7" ht="87" outlineLevel="1" x14ac:dyDescent="0.35">
      <c r="B332" s="77"/>
      <c r="C332" s="77"/>
      <c r="D332" s="2" t="s">
        <v>5542</v>
      </c>
      <c r="E332" s="2" t="s">
        <v>5546</v>
      </c>
      <c r="F332" s="62"/>
      <c r="G332" s="26" t="s">
        <v>341</v>
      </c>
    </row>
    <row r="333" spans="2:7" x14ac:dyDescent="0.35">
      <c r="B333" s="77"/>
      <c r="C333" s="77" t="s">
        <v>5547</v>
      </c>
      <c r="D333" s="77"/>
      <c r="E333" s="77"/>
      <c r="F333" s="62"/>
      <c r="G333" s="23">
        <f>COUNTIF(G334:G356,"Yes")</f>
        <v>1</v>
      </c>
    </row>
    <row r="334" spans="2:7" ht="43.5" outlineLevel="1" x14ac:dyDescent="0.35">
      <c r="B334" s="77"/>
      <c r="C334" s="77"/>
      <c r="D334" s="2" t="s">
        <v>5548</v>
      </c>
      <c r="E334" s="2" t="s">
        <v>5549</v>
      </c>
      <c r="F334" s="62"/>
      <c r="G334" s="26" t="s">
        <v>341</v>
      </c>
    </row>
  </sheetData>
  <sheetProtection formatCells="0" formatColumns="0" formatRows="0" insertColumns="0" insertRows="0" insertHyperlinks="0" deleteColumns="0" deleteRows="0" sort="0" autoFilter="0" pivotTables="0"/>
  <sortState xmlns:xlrd2="http://schemas.microsoft.com/office/spreadsheetml/2017/richdata2" ref="D254:E271">
    <sortCondition ref="D254"/>
  </sortState>
  <mergeCells count="3">
    <mergeCell ref="B6:D6"/>
    <mergeCell ref="B2:B4"/>
    <mergeCell ref="G3:G4"/>
  </mergeCells>
  <dataValidations count="1">
    <dataValidation type="list" allowBlank="1" showInputMessage="1" showErrorMessage="1" sqref="G160:G161 G150:G154 G163:G182 G184:G197 G145 G156:G158 G147:G148 G55 G334 G286 G138:G141 G130:G136 G58:G96 G98:G128 G231:G246 G249:G283 G26:G30 G32 G34 G289:G310 G36:G37 G39:G42 G22:G24 G44:G45 G313:G321 G11:G20 G47 G49:G50 G52:G53 G200:G228 G325:G332" xr:uid="{00000000-0002-0000-0E00-000000000000}">
      <formula1>"Yes, No"</formula1>
    </dataValidation>
  </dataValidations>
  <pageMargins left="0.7" right="0.7" top="0.75" bottom="0.75" header="0.3" footer="0.3"/>
  <pageSetup orientation="portrait" horizontalDpi="1200" verticalDpi="12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293276"/>
  </sheetPr>
  <dimension ref="A1:CK204"/>
  <sheetViews>
    <sheetView zoomScale="80" zoomScaleNormal="80" workbookViewId="0">
      <selection activeCell="C2" sqref="C2"/>
    </sheetView>
  </sheetViews>
  <sheetFormatPr defaultColWidth="9.1796875" defaultRowHeight="14.5" outlineLevelRow="1" x14ac:dyDescent="0.35"/>
  <cols>
    <col min="1" max="1" width="2.1796875" style="79" customWidth="1"/>
    <col min="2" max="2" width="30.6328125" style="96" customWidth="1"/>
    <col min="3" max="3" width="30.6328125" style="97" customWidth="1"/>
    <col min="4" max="4" width="50.6328125" style="97" customWidth="1"/>
    <col min="5" max="5" width="76.6328125" style="97" customWidth="1"/>
    <col min="6" max="6" width="2.1796875" style="79" customWidth="1"/>
    <col min="7" max="7" width="9.1796875" style="98"/>
    <col min="8" max="8" width="37" style="79" customWidth="1"/>
    <col min="9" max="16384" width="9.1796875" style="79"/>
  </cols>
  <sheetData>
    <row r="1" spans="1:89" s="58" customFormat="1" ht="18.5" customHeight="1" x14ac:dyDescent="0.35">
      <c r="B1" s="70"/>
      <c r="C1" s="69"/>
      <c r="D1" s="70"/>
      <c r="E1" s="79"/>
      <c r="F1" s="62"/>
      <c r="G1" s="79"/>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50"/>
      <c r="CA1" s="50"/>
      <c r="CB1" s="50"/>
      <c r="CC1" s="50"/>
      <c r="CD1" s="50"/>
      <c r="CE1" s="50"/>
      <c r="CF1" s="50"/>
      <c r="CG1" s="50"/>
      <c r="CH1" s="50"/>
      <c r="CI1" s="50"/>
      <c r="CJ1" s="50"/>
      <c r="CK1" s="50"/>
    </row>
    <row r="2" spans="1:89" s="58" customFormat="1" ht="14.5" customHeight="1" x14ac:dyDescent="0.35">
      <c r="A2" s="79"/>
      <c r="B2" s="193"/>
      <c r="C2" s="151"/>
      <c r="D2" s="11" t="s">
        <v>41</v>
      </c>
      <c r="E2" s="11" t="s">
        <v>1392</v>
      </c>
      <c r="F2" s="79"/>
      <c r="G2" s="13" t="s">
        <v>342</v>
      </c>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50"/>
      <c r="CE2" s="50"/>
      <c r="CF2" s="50"/>
      <c r="CG2" s="50"/>
      <c r="CH2" s="50"/>
      <c r="CI2" s="50"/>
      <c r="CJ2" s="50"/>
      <c r="CK2" s="50"/>
    </row>
    <row r="3" spans="1:89" s="58" customFormat="1" ht="14.5" customHeight="1" x14ac:dyDescent="0.35">
      <c r="A3" s="79"/>
      <c r="B3" s="193"/>
      <c r="C3" s="151"/>
      <c r="D3" s="11" t="s">
        <v>226</v>
      </c>
      <c r="E3" s="11">
        <f>COUNTIF(E8:E36,"*")</f>
        <v>22</v>
      </c>
      <c r="F3" s="79"/>
      <c r="G3" s="185">
        <f>COUNTIF(G8:G36,"Yes")</f>
        <v>22</v>
      </c>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50"/>
      <c r="BU3" s="50"/>
      <c r="BV3" s="50"/>
      <c r="BW3" s="50"/>
      <c r="BX3" s="50"/>
      <c r="BY3" s="50"/>
      <c r="BZ3" s="50"/>
      <c r="CA3" s="50"/>
      <c r="CB3" s="50"/>
      <c r="CC3" s="50"/>
      <c r="CD3" s="50"/>
      <c r="CE3" s="50"/>
      <c r="CF3" s="50"/>
      <c r="CG3" s="50"/>
      <c r="CH3" s="50"/>
      <c r="CI3" s="50"/>
      <c r="CJ3" s="50"/>
      <c r="CK3" s="50"/>
    </row>
    <row r="4" spans="1:89" s="58" customFormat="1" ht="14.5" customHeight="1" x14ac:dyDescent="0.35">
      <c r="A4" s="79"/>
      <c r="B4" s="193"/>
      <c r="C4" s="151"/>
      <c r="D4" s="15" t="s">
        <v>79</v>
      </c>
      <c r="E4" s="15" t="str">
        <f>'(11) Regionalized Solution'!E4</f>
        <v>R25 Model Bank</v>
      </c>
      <c r="F4" s="79"/>
      <c r="G4" s="186"/>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c r="BO4" s="50"/>
      <c r="BP4" s="50"/>
      <c r="BQ4" s="50"/>
      <c r="BR4" s="50"/>
      <c r="BS4" s="50"/>
      <c r="BT4" s="50"/>
      <c r="BU4" s="50"/>
      <c r="BV4" s="50"/>
      <c r="BW4" s="50"/>
      <c r="BX4" s="50"/>
      <c r="BY4" s="50"/>
      <c r="BZ4" s="50"/>
      <c r="CA4" s="50"/>
      <c r="CB4" s="50"/>
      <c r="CC4" s="50"/>
      <c r="CD4" s="50"/>
      <c r="CE4" s="50"/>
      <c r="CF4" s="50"/>
      <c r="CG4" s="50"/>
      <c r="CH4" s="50"/>
      <c r="CI4" s="50"/>
      <c r="CJ4" s="50"/>
      <c r="CK4" s="50"/>
    </row>
    <row r="5" spans="1:89" s="58" customFormat="1" ht="18.5" customHeight="1" x14ac:dyDescent="0.35">
      <c r="A5" s="79"/>
      <c r="B5" s="149"/>
      <c r="C5" s="149"/>
      <c r="D5" s="72"/>
      <c r="E5" s="73"/>
      <c r="F5" s="79"/>
      <c r="G5" s="9"/>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0"/>
      <c r="BK5" s="50"/>
      <c r="BL5" s="50"/>
      <c r="BM5" s="50"/>
      <c r="BN5" s="50"/>
      <c r="BO5" s="50"/>
      <c r="BP5" s="50"/>
      <c r="BQ5" s="50"/>
      <c r="BR5" s="50"/>
      <c r="BS5" s="50"/>
      <c r="BT5" s="50"/>
      <c r="BU5" s="50"/>
      <c r="BV5" s="50"/>
      <c r="BW5" s="50"/>
      <c r="BX5" s="50"/>
      <c r="BY5" s="50"/>
      <c r="BZ5" s="50"/>
      <c r="CA5" s="50"/>
      <c r="CB5" s="50"/>
      <c r="CC5" s="50"/>
      <c r="CD5" s="50"/>
      <c r="CE5" s="50"/>
      <c r="CF5" s="50"/>
      <c r="CG5" s="50"/>
      <c r="CH5" s="50"/>
      <c r="CI5" s="50"/>
      <c r="CJ5" s="50"/>
      <c r="CK5" s="50"/>
    </row>
    <row r="6" spans="1:89" s="58" customFormat="1" x14ac:dyDescent="0.35">
      <c r="A6" s="79"/>
      <c r="B6" s="191"/>
      <c r="C6" s="192"/>
      <c r="D6" s="192"/>
      <c r="E6" s="192"/>
      <c r="F6" s="79"/>
      <c r="G6" s="18" t="s">
        <v>340</v>
      </c>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row>
    <row r="7" spans="1:89" s="58" customFormat="1" x14ac:dyDescent="0.35">
      <c r="A7" s="79"/>
      <c r="B7" s="75" t="s">
        <v>83</v>
      </c>
      <c r="C7" s="75" t="s">
        <v>86</v>
      </c>
      <c r="D7" s="75" t="s">
        <v>87</v>
      </c>
      <c r="E7" s="75" t="s">
        <v>54</v>
      </c>
      <c r="F7" s="79"/>
      <c r="G7" s="76" t="s">
        <v>342</v>
      </c>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c r="AV7" s="50"/>
      <c r="AW7" s="50"/>
      <c r="AX7" s="50"/>
      <c r="AY7" s="50"/>
      <c r="AZ7" s="50"/>
      <c r="BA7" s="50"/>
      <c r="BB7" s="50"/>
      <c r="BC7" s="50"/>
      <c r="BD7" s="50"/>
      <c r="BE7" s="50"/>
      <c r="BF7" s="50"/>
      <c r="BG7" s="50"/>
      <c r="BH7" s="50"/>
      <c r="BI7" s="50"/>
      <c r="BJ7" s="50"/>
      <c r="BK7" s="50"/>
      <c r="BL7" s="50"/>
      <c r="BM7" s="50"/>
      <c r="BN7" s="50"/>
      <c r="BO7" s="50"/>
      <c r="BP7" s="50"/>
      <c r="BQ7" s="50"/>
      <c r="BR7" s="50"/>
      <c r="BS7" s="50"/>
      <c r="BT7" s="50"/>
      <c r="BU7" s="50"/>
      <c r="BV7" s="50"/>
      <c r="BW7" s="50"/>
      <c r="BX7" s="50"/>
      <c r="BY7" s="50"/>
      <c r="BZ7" s="50"/>
      <c r="CA7" s="50"/>
      <c r="CB7" s="50"/>
      <c r="CC7" s="50"/>
      <c r="CD7" s="50"/>
      <c r="CE7" s="50"/>
      <c r="CF7" s="50"/>
      <c r="CG7" s="50"/>
      <c r="CH7" s="50"/>
      <c r="CI7" s="50"/>
      <c r="CJ7" s="50"/>
      <c r="CK7" s="50"/>
    </row>
    <row r="8" spans="1:89" x14ac:dyDescent="0.35">
      <c r="B8" s="77" t="s">
        <v>1393</v>
      </c>
      <c r="C8" s="77"/>
      <c r="D8" s="2"/>
      <c r="E8" s="2"/>
      <c r="G8" s="78"/>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0"/>
      <c r="BR8" s="50"/>
      <c r="BS8" s="50"/>
      <c r="BT8" s="50"/>
      <c r="BU8" s="50"/>
      <c r="BV8" s="50"/>
      <c r="BW8" s="50"/>
      <c r="BX8" s="50"/>
      <c r="BY8" s="50"/>
      <c r="BZ8" s="50"/>
      <c r="CA8" s="50"/>
      <c r="CB8" s="50"/>
      <c r="CC8" s="50"/>
      <c r="CD8" s="50"/>
      <c r="CE8" s="50"/>
      <c r="CF8" s="50"/>
      <c r="CG8" s="50"/>
      <c r="CH8" s="50"/>
      <c r="CI8" s="50"/>
      <c r="CJ8" s="50"/>
      <c r="CK8" s="50"/>
    </row>
    <row r="9" spans="1:89" ht="29" x14ac:dyDescent="0.35">
      <c r="B9" s="77"/>
      <c r="C9" s="77" t="s">
        <v>1394</v>
      </c>
      <c r="D9" s="2"/>
      <c r="E9" s="2"/>
      <c r="G9" s="80">
        <f>COUNTIF(G11:G23,"Yes")</f>
        <v>11</v>
      </c>
      <c r="H9" s="74"/>
    </row>
    <row r="10" spans="1:89" x14ac:dyDescent="0.35">
      <c r="B10" s="77"/>
      <c r="C10" s="77"/>
      <c r="D10" s="81" t="s">
        <v>1395</v>
      </c>
      <c r="E10" s="2"/>
      <c r="G10" s="137"/>
    </row>
    <row r="11" spans="1:89" ht="72.5" outlineLevel="1" x14ac:dyDescent="0.35">
      <c r="B11" s="77"/>
      <c r="C11" s="2"/>
      <c r="D11" s="2" t="s">
        <v>1396</v>
      </c>
      <c r="E11" s="2" t="s">
        <v>1397</v>
      </c>
      <c r="G11" s="82" t="s">
        <v>341</v>
      </c>
    </row>
    <row r="12" spans="1:89" x14ac:dyDescent="0.35">
      <c r="B12" s="77"/>
      <c r="C12" s="2"/>
      <c r="D12" s="81" t="s">
        <v>1398</v>
      </c>
      <c r="E12" s="2"/>
      <c r="G12" s="137"/>
    </row>
    <row r="13" spans="1:89" ht="58" outlineLevel="1" x14ac:dyDescent="0.35">
      <c r="B13" s="86"/>
      <c r="C13" s="87"/>
      <c r="D13" s="2" t="s">
        <v>3665</v>
      </c>
      <c r="E13" s="2" t="s">
        <v>1504</v>
      </c>
      <c r="G13" s="82" t="s">
        <v>341</v>
      </c>
    </row>
    <row r="14" spans="1:89" ht="43.5" outlineLevel="1" x14ac:dyDescent="0.35">
      <c r="B14" s="77"/>
      <c r="C14" s="2"/>
      <c r="D14" s="2" t="s">
        <v>3666</v>
      </c>
      <c r="E14" s="2" t="s">
        <v>1692</v>
      </c>
      <c r="G14" s="82" t="s">
        <v>341</v>
      </c>
    </row>
    <row r="15" spans="1:89" s="50" customFormat="1" ht="43.5" outlineLevel="1" x14ac:dyDescent="0.35">
      <c r="A15" s="79"/>
      <c r="B15" s="86"/>
      <c r="C15" s="87"/>
      <c r="D15" s="2" t="s">
        <v>1400</v>
      </c>
      <c r="E15" s="2" t="s">
        <v>1401</v>
      </c>
      <c r="F15" s="79"/>
      <c r="G15" s="82" t="s">
        <v>341</v>
      </c>
      <c r="H15" s="79"/>
      <c r="I15" s="79"/>
      <c r="J15" s="79"/>
      <c r="K15" s="79"/>
      <c r="L15" s="79"/>
      <c r="M15" s="79"/>
      <c r="N15" s="79"/>
      <c r="O15" s="79"/>
      <c r="P15" s="79"/>
      <c r="Q15" s="79"/>
      <c r="R15" s="79"/>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row>
    <row r="16" spans="1:89" ht="43.5" outlineLevel="1" x14ac:dyDescent="0.35">
      <c r="B16" s="126"/>
      <c r="C16" s="138"/>
      <c r="D16" s="2" t="s">
        <v>1415</v>
      </c>
      <c r="E16" s="2" t="s">
        <v>1399</v>
      </c>
      <c r="G16" s="26" t="s">
        <v>341</v>
      </c>
    </row>
    <row r="17" spans="1:89" ht="87" outlineLevel="1" x14ac:dyDescent="0.35">
      <c r="A17" s="50"/>
      <c r="B17" s="55"/>
      <c r="C17" s="55"/>
      <c r="D17" s="2" t="s">
        <v>1402</v>
      </c>
      <c r="E17" s="2" t="s">
        <v>3925</v>
      </c>
      <c r="G17" s="82" t="s">
        <v>341</v>
      </c>
      <c r="H17" s="50"/>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0"/>
      <c r="BR17" s="50"/>
      <c r="BS17" s="50"/>
      <c r="BT17" s="50"/>
      <c r="BU17" s="50"/>
      <c r="BV17" s="50"/>
      <c r="BW17" s="50"/>
      <c r="BX17" s="50"/>
      <c r="BY17" s="50"/>
      <c r="BZ17" s="50"/>
      <c r="CA17" s="50"/>
      <c r="CB17" s="50"/>
      <c r="CC17" s="50"/>
      <c r="CD17" s="50"/>
      <c r="CE17" s="50"/>
      <c r="CF17" s="50"/>
      <c r="CG17" s="50"/>
      <c r="CH17" s="50"/>
      <c r="CI17" s="50"/>
      <c r="CJ17" s="50"/>
      <c r="CK17" s="50"/>
    </row>
    <row r="18" spans="1:89" ht="87" outlineLevel="1" x14ac:dyDescent="0.35">
      <c r="B18" s="77"/>
      <c r="C18" s="1"/>
      <c r="D18" s="2" t="s">
        <v>1403</v>
      </c>
      <c r="E18" s="2" t="s">
        <v>1416</v>
      </c>
      <c r="G18" s="82" t="s">
        <v>341</v>
      </c>
    </row>
    <row r="19" spans="1:89" ht="29" outlineLevel="1" x14ac:dyDescent="0.35">
      <c r="B19" s="77"/>
      <c r="C19" s="1"/>
      <c r="D19" s="2" t="s">
        <v>1404</v>
      </c>
      <c r="E19" s="2" t="s">
        <v>1417</v>
      </c>
      <c r="G19" s="82" t="s">
        <v>341</v>
      </c>
    </row>
    <row r="20" spans="1:89" x14ac:dyDescent="0.35">
      <c r="B20" s="77"/>
      <c r="C20" s="2"/>
      <c r="D20" s="81" t="s">
        <v>1405</v>
      </c>
      <c r="E20" s="2"/>
      <c r="G20" s="137"/>
    </row>
    <row r="21" spans="1:89" ht="116" outlineLevel="1" x14ac:dyDescent="0.35">
      <c r="B21" s="77"/>
      <c r="C21" s="1"/>
      <c r="D21" s="2" t="s">
        <v>1513</v>
      </c>
      <c r="E21" s="2" t="s">
        <v>3921</v>
      </c>
      <c r="G21" s="82" t="s">
        <v>341</v>
      </c>
    </row>
    <row r="22" spans="1:89" ht="72.5" outlineLevel="1" x14ac:dyDescent="0.35">
      <c r="B22" s="77"/>
      <c r="C22" s="1"/>
      <c r="D22" s="2" t="s">
        <v>1406</v>
      </c>
      <c r="E22" s="2" t="s">
        <v>3922</v>
      </c>
      <c r="G22" s="82" t="s">
        <v>341</v>
      </c>
    </row>
    <row r="23" spans="1:89" ht="87" outlineLevel="1" x14ac:dyDescent="0.35">
      <c r="B23" s="77"/>
      <c r="C23" s="1"/>
      <c r="D23" s="2" t="s">
        <v>1408</v>
      </c>
      <c r="E23" s="2" t="s">
        <v>1407</v>
      </c>
      <c r="G23" s="82" t="s">
        <v>341</v>
      </c>
    </row>
    <row r="24" spans="1:89" x14ac:dyDescent="0.35">
      <c r="B24" s="77"/>
      <c r="C24" s="77" t="s">
        <v>1409</v>
      </c>
      <c r="D24" s="1"/>
      <c r="E24" s="1"/>
      <c r="G24" s="80">
        <f>COUNTIF(G25:G32,"Yes")</f>
        <v>8</v>
      </c>
    </row>
    <row r="25" spans="1:89" ht="87" outlineLevel="1" x14ac:dyDescent="0.35">
      <c r="B25" s="77"/>
      <c r="C25" s="2"/>
      <c r="D25" s="2" t="s">
        <v>1682</v>
      </c>
      <c r="E25" s="2" t="s">
        <v>1508</v>
      </c>
      <c r="G25" s="82" t="s">
        <v>341</v>
      </c>
    </row>
    <row r="26" spans="1:89" ht="101.5" outlineLevel="1" x14ac:dyDescent="0.35">
      <c r="B26" s="77"/>
      <c r="C26" s="2"/>
      <c r="D26" s="2" t="s">
        <v>1410</v>
      </c>
      <c r="E26" s="2" t="s">
        <v>1778</v>
      </c>
      <c r="G26" s="82" t="s">
        <v>341</v>
      </c>
    </row>
    <row r="27" spans="1:89" ht="101.5" outlineLevel="1" x14ac:dyDescent="0.35">
      <c r="B27" s="77"/>
      <c r="C27" s="2"/>
      <c r="D27" s="2" t="s">
        <v>1511</v>
      </c>
      <c r="E27" s="2" t="s">
        <v>1509</v>
      </c>
      <c r="G27" s="82" t="s">
        <v>341</v>
      </c>
    </row>
    <row r="28" spans="1:89" ht="72.5" outlineLevel="1" x14ac:dyDescent="0.35">
      <c r="B28" s="77"/>
      <c r="C28" s="2"/>
      <c r="D28" s="2" t="s">
        <v>1512</v>
      </c>
      <c r="E28" s="2" t="s">
        <v>1779</v>
      </c>
      <c r="G28" s="82" t="s">
        <v>341</v>
      </c>
    </row>
    <row r="29" spans="1:89" ht="130.5" outlineLevel="1" x14ac:dyDescent="0.35">
      <c r="B29" s="77"/>
      <c r="C29" s="2"/>
      <c r="D29" s="2" t="s">
        <v>1414</v>
      </c>
      <c r="E29" s="2" t="s">
        <v>3923</v>
      </c>
      <c r="G29" s="82" t="s">
        <v>341</v>
      </c>
    </row>
    <row r="30" spans="1:89" ht="116" outlineLevel="1" x14ac:dyDescent="0.35">
      <c r="B30" s="77"/>
      <c r="C30" s="2"/>
      <c r="D30" s="2" t="s">
        <v>1514</v>
      </c>
      <c r="E30" s="2" t="s">
        <v>1510</v>
      </c>
      <c r="G30" s="82" t="s">
        <v>341</v>
      </c>
    </row>
    <row r="31" spans="1:89" ht="43.5" outlineLevel="1" x14ac:dyDescent="0.35">
      <c r="B31" s="77"/>
      <c r="C31" s="2"/>
      <c r="D31" s="2" t="s">
        <v>1411</v>
      </c>
      <c r="E31" s="2" t="s">
        <v>1412</v>
      </c>
      <c r="G31" s="82" t="s">
        <v>341</v>
      </c>
    </row>
    <row r="32" spans="1:89" ht="72.5" outlineLevel="1" x14ac:dyDescent="0.35">
      <c r="B32" s="77"/>
      <c r="C32" s="2"/>
      <c r="D32" s="2" t="s">
        <v>1683</v>
      </c>
      <c r="E32" s="2" t="s">
        <v>1413</v>
      </c>
      <c r="G32" s="82" t="s">
        <v>341</v>
      </c>
    </row>
    <row r="33" spans="2:7" ht="29" x14ac:dyDescent="0.35">
      <c r="B33" s="77"/>
      <c r="C33" s="77" t="s">
        <v>1436</v>
      </c>
      <c r="D33" s="1"/>
      <c r="E33" s="1"/>
      <c r="G33" s="80">
        <f>COUNTIF(G34:G36,"Yes")</f>
        <v>3</v>
      </c>
    </row>
    <row r="34" spans="2:7" ht="87" outlineLevel="1" x14ac:dyDescent="0.35">
      <c r="B34" s="77"/>
      <c r="C34" s="2"/>
      <c r="D34" s="2" t="s">
        <v>1525</v>
      </c>
      <c r="E34" s="2" t="s">
        <v>1505</v>
      </c>
      <c r="G34" s="82" t="s">
        <v>341</v>
      </c>
    </row>
    <row r="35" spans="2:7" ht="58" outlineLevel="1" x14ac:dyDescent="0.35">
      <c r="B35" s="77"/>
      <c r="C35" s="2"/>
      <c r="D35" s="2" t="s">
        <v>1523</v>
      </c>
      <c r="E35" s="2" t="s">
        <v>1506</v>
      </c>
      <c r="G35" s="82" t="s">
        <v>341</v>
      </c>
    </row>
    <row r="36" spans="2:7" ht="58" outlineLevel="1" x14ac:dyDescent="0.35">
      <c r="B36" s="77"/>
      <c r="C36" s="2"/>
      <c r="D36" s="2" t="s">
        <v>1524</v>
      </c>
      <c r="E36" s="2" t="s">
        <v>1507</v>
      </c>
      <c r="G36" s="82" t="s">
        <v>341</v>
      </c>
    </row>
    <row r="38" spans="2:7" x14ac:dyDescent="0.35">
      <c r="F38" s="97"/>
      <c r="G38" s="97"/>
    </row>
    <row r="39" spans="2:7" x14ac:dyDescent="0.35">
      <c r="F39" s="97"/>
      <c r="G39" s="97"/>
    </row>
    <row r="40" spans="2:7" x14ac:dyDescent="0.35">
      <c r="F40" s="97"/>
      <c r="G40" s="97"/>
    </row>
    <row r="41" spans="2:7" x14ac:dyDescent="0.35">
      <c r="F41" s="97"/>
      <c r="G41" s="97"/>
    </row>
    <row r="42" spans="2:7" x14ac:dyDescent="0.35">
      <c r="F42" s="97"/>
      <c r="G42" s="97"/>
    </row>
    <row r="43" spans="2:7" x14ac:dyDescent="0.35">
      <c r="F43" s="97"/>
      <c r="G43" s="97"/>
    </row>
    <row r="44" spans="2:7" x14ac:dyDescent="0.35">
      <c r="F44" s="97"/>
      <c r="G44" s="97"/>
    </row>
    <row r="45" spans="2:7" x14ac:dyDescent="0.35">
      <c r="F45" s="97"/>
      <c r="G45" s="97"/>
    </row>
    <row r="46" spans="2:7" x14ac:dyDescent="0.35">
      <c r="F46" s="97"/>
      <c r="G46" s="97"/>
    </row>
    <row r="47" spans="2:7" x14ac:dyDescent="0.35">
      <c r="F47" s="97"/>
      <c r="G47" s="97"/>
    </row>
    <row r="48" spans="2:7" x14ac:dyDescent="0.35">
      <c r="F48" s="97"/>
      <c r="G48" s="97"/>
    </row>
    <row r="49" spans="6:7" x14ac:dyDescent="0.35">
      <c r="F49" s="97"/>
      <c r="G49" s="97"/>
    </row>
    <row r="50" spans="6:7" x14ac:dyDescent="0.35">
      <c r="F50" s="97"/>
      <c r="G50" s="97"/>
    </row>
    <row r="51" spans="6:7" x14ac:dyDescent="0.35">
      <c r="F51" s="97"/>
      <c r="G51" s="97"/>
    </row>
    <row r="52" spans="6:7" x14ac:dyDescent="0.35">
      <c r="F52" s="97"/>
      <c r="G52" s="97"/>
    </row>
    <row r="53" spans="6:7" x14ac:dyDescent="0.35">
      <c r="F53" s="97"/>
      <c r="G53" s="97"/>
    </row>
    <row r="54" spans="6:7" x14ac:dyDescent="0.35">
      <c r="F54" s="97"/>
      <c r="G54" s="97"/>
    </row>
    <row r="55" spans="6:7" x14ac:dyDescent="0.35">
      <c r="F55" s="97"/>
      <c r="G55" s="97"/>
    </row>
    <row r="56" spans="6:7" x14ac:dyDescent="0.35">
      <c r="F56" s="97"/>
      <c r="G56" s="97"/>
    </row>
    <row r="57" spans="6:7" x14ac:dyDescent="0.35">
      <c r="F57" s="97"/>
      <c r="G57" s="97"/>
    </row>
    <row r="58" spans="6:7" x14ac:dyDescent="0.35">
      <c r="F58" s="97"/>
      <c r="G58" s="97"/>
    </row>
    <row r="59" spans="6:7" x14ac:dyDescent="0.35">
      <c r="F59" s="97"/>
      <c r="G59" s="97"/>
    </row>
    <row r="60" spans="6:7" x14ac:dyDescent="0.35">
      <c r="F60" s="97"/>
      <c r="G60" s="97"/>
    </row>
    <row r="61" spans="6:7" x14ac:dyDescent="0.35">
      <c r="F61" s="97"/>
      <c r="G61" s="97"/>
    </row>
    <row r="62" spans="6:7" x14ac:dyDescent="0.35">
      <c r="F62" s="97"/>
      <c r="G62" s="97"/>
    </row>
    <row r="63" spans="6:7" x14ac:dyDescent="0.35">
      <c r="F63" s="97"/>
      <c r="G63" s="97"/>
    </row>
    <row r="64" spans="6:7" x14ac:dyDescent="0.35">
      <c r="F64" s="97"/>
      <c r="G64" s="97"/>
    </row>
    <row r="65" spans="6:7" x14ac:dyDescent="0.35">
      <c r="F65" s="97"/>
      <c r="G65" s="97"/>
    </row>
    <row r="66" spans="6:7" x14ac:dyDescent="0.35">
      <c r="F66" s="97"/>
      <c r="G66" s="97"/>
    </row>
    <row r="67" spans="6:7" x14ac:dyDescent="0.35">
      <c r="F67" s="97"/>
      <c r="G67" s="97"/>
    </row>
    <row r="68" spans="6:7" x14ac:dyDescent="0.35">
      <c r="F68" s="97"/>
      <c r="G68" s="97"/>
    </row>
    <row r="69" spans="6:7" x14ac:dyDescent="0.35">
      <c r="F69" s="97"/>
      <c r="G69" s="97"/>
    </row>
    <row r="70" spans="6:7" x14ac:dyDescent="0.35">
      <c r="F70" s="97"/>
      <c r="G70" s="97"/>
    </row>
    <row r="71" spans="6:7" x14ac:dyDescent="0.35">
      <c r="F71" s="97"/>
      <c r="G71" s="97"/>
    </row>
    <row r="72" spans="6:7" x14ac:dyDescent="0.35">
      <c r="F72" s="97"/>
      <c r="G72" s="97"/>
    </row>
    <row r="73" spans="6:7" x14ac:dyDescent="0.35">
      <c r="F73" s="97"/>
      <c r="G73" s="97"/>
    </row>
    <row r="74" spans="6:7" x14ac:dyDescent="0.35">
      <c r="F74" s="97"/>
      <c r="G74" s="97"/>
    </row>
    <row r="75" spans="6:7" x14ac:dyDescent="0.35">
      <c r="F75" s="97"/>
      <c r="G75" s="97"/>
    </row>
    <row r="76" spans="6:7" x14ac:dyDescent="0.35">
      <c r="F76" s="97"/>
      <c r="G76" s="97"/>
    </row>
    <row r="77" spans="6:7" x14ac:dyDescent="0.35">
      <c r="F77" s="97"/>
      <c r="G77" s="97"/>
    </row>
    <row r="78" spans="6:7" x14ac:dyDescent="0.35">
      <c r="F78" s="97"/>
      <c r="G78" s="97"/>
    </row>
    <row r="79" spans="6:7" x14ac:dyDescent="0.35">
      <c r="F79" s="97"/>
      <c r="G79" s="97"/>
    </row>
    <row r="80" spans="6:7" x14ac:dyDescent="0.35">
      <c r="F80" s="97"/>
      <c r="G80" s="97"/>
    </row>
    <row r="81" spans="6:7" x14ac:dyDescent="0.35">
      <c r="F81" s="97"/>
      <c r="G81" s="97"/>
    </row>
    <row r="82" spans="6:7" x14ac:dyDescent="0.35">
      <c r="F82" s="97"/>
      <c r="G82" s="97"/>
    </row>
    <row r="83" spans="6:7" x14ac:dyDescent="0.35">
      <c r="F83" s="97"/>
      <c r="G83" s="97"/>
    </row>
    <row r="84" spans="6:7" x14ac:dyDescent="0.35">
      <c r="F84" s="97"/>
      <c r="G84" s="97"/>
    </row>
    <row r="85" spans="6:7" x14ac:dyDescent="0.35">
      <c r="F85" s="97"/>
      <c r="G85" s="97"/>
    </row>
    <row r="86" spans="6:7" x14ac:dyDescent="0.35">
      <c r="F86" s="97"/>
      <c r="G86" s="97"/>
    </row>
    <row r="87" spans="6:7" x14ac:dyDescent="0.35">
      <c r="F87" s="97"/>
      <c r="G87" s="97"/>
    </row>
    <row r="88" spans="6:7" x14ac:dyDescent="0.35">
      <c r="F88" s="97"/>
      <c r="G88" s="97"/>
    </row>
    <row r="89" spans="6:7" x14ac:dyDescent="0.35">
      <c r="F89" s="97"/>
      <c r="G89" s="97"/>
    </row>
    <row r="90" spans="6:7" x14ac:dyDescent="0.35">
      <c r="F90" s="97"/>
      <c r="G90" s="97"/>
    </row>
    <row r="91" spans="6:7" x14ac:dyDescent="0.35">
      <c r="F91" s="97"/>
      <c r="G91" s="97"/>
    </row>
    <row r="92" spans="6:7" x14ac:dyDescent="0.35">
      <c r="F92" s="97"/>
      <c r="G92" s="97"/>
    </row>
    <row r="93" spans="6:7" x14ac:dyDescent="0.35">
      <c r="F93" s="97"/>
      <c r="G93" s="97"/>
    </row>
    <row r="94" spans="6:7" x14ac:dyDescent="0.35">
      <c r="F94" s="97"/>
      <c r="G94" s="97"/>
    </row>
    <row r="95" spans="6:7" x14ac:dyDescent="0.35">
      <c r="F95" s="97"/>
      <c r="G95" s="97"/>
    </row>
    <row r="96" spans="6:7" x14ac:dyDescent="0.35">
      <c r="F96" s="97"/>
      <c r="G96" s="97"/>
    </row>
    <row r="97" spans="6:7" x14ac:dyDescent="0.35">
      <c r="F97" s="97"/>
      <c r="G97" s="97"/>
    </row>
    <row r="98" spans="6:7" x14ac:dyDescent="0.35">
      <c r="F98" s="97"/>
      <c r="G98" s="97"/>
    </row>
    <row r="99" spans="6:7" x14ac:dyDescent="0.35">
      <c r="F99" s="97"/>
      <c r="G99" s="97"/>
    </row>
    <row r="100" spans="6:7" x14ac:dyDescent="0.35">
      <c r="F100" s="97"/>
      <c r="G100" s="97"/>
    </row>
    <row r="101" spans="6:7" x14ac:dyDescent="0.35">
      <c r="F101" s="97"/>
      <c r="G101" s="97"/>
    </row>
    <row r="102" spans="6:7" x14ac:dyDescent="0.35">
      <c r="F102" s="97"/>
      <c r="G102" s="97"/>
    </row>
    <row r="103" spans="6:7" x14ac:dyDescent="0.35">
      <c r="F103" s="97"/>
      <c r="G103" s="97"/>
    </row>
    <row r="104" spans="6:7" x14ac:dyDescent="0.35">
      <c r="F104" s="97"/>
      <c r="G104" s="97"/>
    </row>
    <row r="105" spans="6:7" x14ac:dyDescent="0.35">
      <c r="F105" s="97"/>
      <c r="G105" s="97"/>
    </row>
    <row r="106" spans="6:7" x14ac:dyDescent="0.35">
      <c r="F106" s="97"/>
      <c r="G106" s="97"/>
    </row>
    <row r="107" spans="6:7" x14ac:dyDescent="0.35">
      <c r="F107" s="97"/>
      <c r="G107" s="97"/>
    </row>
    <row r="108" spans="6:7" x14ac:dyDescent="0.35">
      <c r="F108" s="97"/>
      <c r="G108" s="97"/>
    </row>
    <row r="109" spans="6:7" x14ac:dyDescent="0.35">
      <c r="F109" s="97"/>
      <c r="G109" s="97"/>
    </row>
    <row r="110" spans="6:7" x14ac:dyDescent="0.35">
      <c r="F110" s="97"/>
      <c r="G110" s="97"/>
    </row>
    <row r="111" spans="6:7" x14ac:dyDescent="0.35">
      <c r="F111" s="97"/>
      <c r="G111" s="97"/>
    </row>
    <row r="112" spans="6:7" x14ac:dyDescent="0.35">
      <c r="F112" s="97"/>
      <c r="G112" s="97"/>
    </row>
    <row r="113" spans="6:7" x14ac:dyDescent="0.35">
      <c r="F113" s="97"/>
      <c r="G113" s="97"/>
    </row>
    <row r="114" spans="6:7" x14ac:dyDescent="0.35">
      <c r="F114" s="97"/>
      <c r="G114" s="97"/>
    </row>
    <row r="115" spans="6:7" x14ac:dyDescent="0.35">
      <c r="F115" s="97"/>
      <c r="G115" s="97"/>
    </row>
    <row r="116" spans="6:7" x14ac:dyDescent="0.35">
      <c r="F116" s="97"/>
      <c r="G116" s="97"/>
    </row>
    <row r="117" spans="6:7" x14ac:dyDescent="0.35">
      <c r="F117" s="97"/>
      <c r="G117" s="97"/>
    </row>
    <row r="118" spans="6:7" x14ac:dyDescent="0.35">
      <c r="F118" s="97"/>
      <c r="G118" s="97"/>
    </row>
    <row r="119" spans="6:7" x14ac:dyDescent="0.35">
      <c r="F119" s="97"/>
      <c r="G119" s="97"/>
    </row>
    <row r="120" spans="6:7" x14ac:dyDescent="0.35">
      <c r="F120" s="97"/>
      <c r="G120" s="97"/>
    </row>
    <row r="121" spans="6:7" x14ac:dyDescent="0.35">
      <c r="F121" s="97"/>
      <c r="G121" s="97"/>
    </row>
    <row r="122" spans="6:7" x14ac:dyDescent="0.35">
      <c r="F122" s="97"/>
      <c r="G122" s="97"/>
    </row>
    <row r="123" spans="6:7" x14ac:dyDescent="0.35">
      <c r="F123" s="97"/>
      <c r="G123" s="97"/>
    </row>
    <row r="124" spans="6:7" x14ac:dyDescent="0.35">
      <c r="F124" s="97"/>
      <c r="G124" s="97"/>
    </row>
    <row r="125" spans="6:7" x14ac:dyDescent="0.35">
      <c r="F125" s="97"/>
      <c r="G125" s="97"/>
    </row>
    <row r="126" spans="6:7" x14ac:dyDescent="0.35">
      <c r="F126" s="97"/>
      <c r="G126" s="97"/>
    </row>
    <row r="127" spans="6:7" x14ac:dyDescent="0.35">
      <c r="F127" s="97"/>
      <c r="G127" s="97"/>
    </row>
    <row r="128" spans="6:7" x14ac:dyDescent="0.35">
      <c r="F128" s="97"/>
      <c r="G128" s="97"/>
    </row>
    <row r="129" spans="6:7" x14ac:dyDescent="0.35">
      <c r="F129" s="97"/>
      <c r="G129" s="97"/>
    </row>
    <row r="130" spans="6:7" x14ac:dyDescent="0.35">
      <c r="F130" s="97"/>
      <c r="G130" s="97"/>
    </row>
    <row r="131" spans="6:7" x14ac:dyDescent="0.35">
      <c r="F131" s="97"/>
      <c r="G131" s="97"/>
    </row>
    <row r="132" spans="6:7" x14ac:dyDescent="0.35">
      <c r="F132" s="97"/>
      <c r="G132" s="97"/>
    </row>
    <row r="133" spans="6:7" x14ac:dyDescent="0.35">
      <c r="F133" s="97"/>
      <c r="G133" s="97"/>
    </row>
    <row r="134" spans="6:7" x14ac:dyDescent="0.35">
      <c r="F134" s="97"/>
      <c r="G134" s="97"/>
    </row>
    <row r="135" spans="6:7" x14ac:dyDescent="0.35">
      <c r="F135" s="97"/>
      <c r="G135" s="97"/>
    </row>
    <row r="136" spans="6:7" x14ac:dyDescent="0.35">
      <c r="F136" s="97"/>
      <c r="G136" s="97"/>
    </row>
    <row r="137" spans="6:7" x14ac:dyDescent="0.35">
      <c r="F137" s="97"/>
      <c r="G137" s="97"/>
    </row>
    <row r="138" spans="6:7" x14ac:dyDescent="0.35">
      <c r="F138" s="97"/>
      <c r="G138" s="97"/>
    </row>
    <row r="139" spans="6:7" x14ac:dyDescent="0.35">
      <c r="F139" s="97"/>
      <c r="G139" s="97"/>
    </row>
    <row r="140" spans="6:7" x14ac:dyDescent="0.35">
      <c r="F140" s="97"/>
      <c r="G140" s="97"/>
    </row>
    <row r="141" spans="6:7" x14ac:dyDescent="0.35">
      <c r="F141" s="97"/>
      <c r="G141" s="97"/>
    </row>
    <row r="142" spans="6:7" x14ac:dyDescent="0.35">
      <c r="F142" s="97"/>
      <c r="G142" s="97"/>
    </row>
    <row r="143" spans="6:7" x14ac:dyDescent="0.35">
      <c r="F143" s="97"/>
      <c r="G143" s="97"/>
    </row>
    <row r="144" spans="6:7" x14ac:dyDescent="0.35">
      <c r="F144" s="97"/>
      <c r="G144" s="97"/>
    </row>
    <row r="145" spans="6:7" x14ac:dyDescent="0.35">
      <c r="F145" s="97"/>
      <c r="G145" s="97"/>
    </row>
    <row r="146" spans="6:7" x14ac:dyDescent="0.35">
      <c r="F146" s="97"/>
      <c r="G146" s="97"/>
    </row>
    <row r="147" spans="6:7" x14ac:dyDescent="0.35">
      <c r="F147" s="97"/>
      <c r="G147" s="97"/>
    </row>
    <row r="148" spans="6:7" x14ac:dyDescent="0.35">
      <c r="F148" s="97"/>
      <c r="G148" s="97"/>
    </row>
    <row r="149" spans="6:7" x14ac:dyDescent="0.35">
      <c r="F149" s="97"/>
      <c r="G149" s="97"/>
    </row>
    <row r="150" spans="6:7" x14ac:dyDescent="0.35">
      <c r="F150" s="97"/>
      <c r="G150" s="97"/>
    </row>
    <row r="151" spans="6:7" x14ac:dyDescent="0.35">
      <c r="F151" s="97"/>
      <c r="G151" s="97"/>
    </row>
    <row r="152" spans="6:7" x14ac:dyDescent="0.35">
      <c r="F152" s="97"/>
      <c r="G152" s="97"/>
    </row>
    <row r="153" spans="6:7" x14ac:dyDescent="0.35">
      <c r="F153" s="97"/>
      <c r="G153" s="97"/>
    </row>
    <row r="154" spans="6:7" x14ac:dyDescent="0.35">
      <c r="F154" s="97"/>
      <c r="G154" s="97"/>
    </row>
    <row r="155" spans="6:7" x14ac:dyDescent="0.35">
      <c r="F155" s="97"/>
      <c r="G155" s="97"/>
    </row>
    <row r="156" spans="6:7" x14ac:dyDescent="0.35">
      <c r="F156" s="97"/>
      <c r="G156" s="97"/>
    </row>
    <row r="157" spans="6:7" x14ac:dyDescent="0.35">
      <c r="F157" s="97"/>
      <c r="G157" s="97"/>
    </row>
    <row r="158" spans="6:7" x14ac:dyDescent="0.35">
      <c r="F158" s="97"/>
      <c r="G158" s="97"/>
    </row>
    <row r="159" spans="6:7" x14ac:dyDescent="0.35">
      <c r="F159" s="97"/>
      <c r="G159" s="97"/>
    </row>
    <row r="160" spans="6:7" x14ac:dyDescent="0.35">
      <c r="F160" s="97"/>
      <c r="G160" s="97"/>
    </row>
    <row r="161" spans="6:7" x14ac:dyDescent="0.35">
      <c r="F161" s="97"/>
      <c r="G161" s="97"/>
    </row>
    <row r="162" spans="6:7" x14ac:dyDescent="0.35">
      <c r="F162" s="97"/>
      <c r="G162" s="97"/>
    </row>
    <row r="163" spans="6:7" x14ac:dyDescent="0.35">
      <c r="F163" s="97"/>
      <c r="G163" s="97"/>
    </row>
    <row r="164" spans="6:7" x14ac:dyDescent="0.35">
      <c r="F164" s="97"/>
      <c r="G164" s="97"/>
    </row>
    <row r="165" spans="6:7" x14ac:dyDescent="0.35">
      <c r="F165" s="97"/>
      <c r="G165" s="97"/>
    </row>
    <row r="166" spans="6:7" x14ac:dyDescent="0.35">
      <c r="F166" s="97"/>
      <c r="G166" s="97"/>
    </row>
    <row r="167" spans="6:7" x14ac:dyDescent="0.35">
      <c r="F167" s="97"/>
      <c r="G167" s="97"/>
    </row>
    <row r="168" spans="6:7" x14ac:dyDescent="0.35">
      <c r="F168" s="97"/>
      <c r="G168" s="97"/>
    </row>
    <row r="169" spans="6:7" x14ac:dyDescent="0.35">
      <c r="F169" s="97"/>
      <c r="G169" s="97"/>
    </row>
    <row r="170" spans="6:7" x14ac:dyDescent="0.35">
      <c r="F170" s="97"/>
      <c r="G170" s="97"/>
    </row>
    <row r="171" spans="6:7" x14ac:dyDescent="0.35">
      <c r="F171" s="97"/>
      <c r="G171" s="97"/>
    </row>
    <row r="172" spans="6:7" x14ac:dyDescent="0.35">
      <c r="F172" s="97"/>
      <c r="G172" s="97"/>
    </row>
    <row r="173" spans="6:7" x14ac:dyDescent="0.35">
      <c r="F173" s="97"/>
      <c r="G173" s="97"/>
    </row>
    <row r="174" spans="6:7" x14ac:dyDescent="0.35">
      <c r="F174" s="97"/>
      <c r="G174" s="97"/>
    </row>
    <row r="175" spans="6:7" x14ac:dyDescent="0.35">
      <c r="F175" s="97"/>
      <c r="G175" s="97"/>
    </row>
    <row r="176" spans="6:7" x14ac:dyDescent="0.35">
      <c r="F176" s="97"/>
      <c r="G176" s="97"/>
    </row>
    <row r="177" spans="6:7" x14ac:dyDescent="0.35">
      <c r="F177" s="97"/>
      <c r="G177" s="97"/>
    </row>
    <row r="178" spans="6:7" x14ac:dyDescent="0.35">
      <c r="F178" s="97"/>
      <c r="G178" s="97"/>
    </row>
    <row r="179" spans="6:7" x14ac:dyDescent="0.35">
      <c r="F179" s="97"/>
      <c r="G179" s="97"/>
    </row>
    <row r="180" spans="6:7" x14ac:dyDescent="0.35">
      <c r="F180" s="97"/>
      <c r="G180" s="97"/>
    </row>
    <row r="181" spans="6:7" x14ac:dyDescent="0.35">
      <c r="F181" s="97"/>
      <c r="G181" s="97"/>
    </row>
    <row r="182" spans="6:7" x14ac:dyDescent="0.35">
      <c r="F182" s="97"/>
      <c r="G182" s="97"/>
    </row>
    <row r="183" spans="6:7" x14ac:dyDescent="0.35">
      <c r="F183" s="97"/>
      <c r="G183" s="97"/>
    </row>
    <row r="184" spans="6:7" x14ac:dyDescent="0.35">
      <c r="F184" s="97"/>
      <c r="G184" s="97"/>
    </row>
    <row r="185" spans="6:7" x14ac:dyDescent="0.35">
      <c r="F185" s="97"/>
      <c r="G185" s="97"/>
    </row>
    <row r="186" spans="6:7" x14ac:dyDescent="0.35">
      <c r="F186" s="97"/>
      <c r="G186" s="97"/>
    </row>
    <row r="187" spans="6:7" x14ac:dyDescent="0.35">
      <c r="F187" s="97"/>
      <c r="G187" s="97"/>
    </row>
    <row r="188" spans="6:7" x14ac:dyDescent="0.35">
      <c r="F188" s="97"/>
      <c r="G188" s="97"/>
    </row>
    <row r="189" spans="6:7" x14ac:dyDescent="0.35">
      <c r="F189" s="97"/>
      <c r="G189" s="97"/>
    </row>
    <row r="190" spans="6:7" x14ac:dyDescent="0.35">
      <c r="F190" s="97"/>
      <c r="G190" s="97"/>
    </row>
    <row r="191" spans="6:7" x14ac:dyDescent="0.35">
      <c r="F191" s="97"/>
      <c r="G191" s="97"/>
    </row>
    <row r="192" spans="6:7" x14ac:dyDescent="0.35">
      <c r="F192" s="97"/>
      <c r="G192" s="97"/>
    </row>
    <row r="193" spans="6:7" x14ac:dyDescent="0.35">
      <c r="F193" s="97"/>
      <c r="G193" s="97"/>
    </row>
    <row r="194" spans="6:7" x14ac:dyDescent="0.35">
      <c r="F194" s="97"/>
      <c r="G194" s="97"/>
    </row>
    <row r="195" spans="6:7" x14ac:dyDescent="0.35">
      <c r="F195" s="97"/>
      <c r="G195" s="97"/>
    </row>
    <row r="196" spans="6:7" x14ac:dyDescent="0.35">
      <c r="F196" s="97"/>
      <c r="G196" s="97"/>
    </row>
    <row r="197" spans="6:7" x14ac:dyDescent="0.35">
      <c r="F197" s="97"/>
      <c r="G197" s="97"/>
    </row>
    <row r="198" spans="6:7" x14ac:dyDescent="0.35">
      <c r="F198" s="97"/>
      <c r="G198" s="97"/>
    </row>
    <row r="199" spans="6:7" x14ac:dyDescent="0.35">
      <c r="F199" s="97"/>
      <c r="G199" s="97"/>
    </row>
    <row r="200" spans="6:7" x14ac:dyDescent="0.35">
      <c r="F200" s="97"/>
      <c r="G200" s="97"/>
    </row>
    <row r="201" spans="6:7" x14ac:dyDescent="0.35">
      <c r="F201" s="97"/>
      <c r="G201" s="97"/>
    </row>
    <row r="202" spans="6:7" x14ac:dyDescent="0.35">
      <c r="F202" s="97"/>
      <c r="G202" s="97"/>
    </row>
    <row r="203" spans="6:7" x14ac:dyDescent="0.35">
      <c r="F203" s="62"/>
    </row>
    <row r="204" spans="6:7" x14ac:dyDescent="0.35">
      <c r="F204" s="62"/>
    </row>
  </sheetData>
  <sortState xmlns:xlrd2="http://schemas.microsoft.com/office/spreadsheetml/2017/richdata2" ref="A34:CK36">
    <sortCondition ref="D34"/>
  </sortState>
  <mergeCells count="3">
    <mergeCell ref="B6:E6"/>
    <mergeCell ref="B2:B4"/>
    <mergeCell ref="G3:G4"/>
  </mergeCells>
  <dataValidations count="1">
    <dataValidation type="list" allowBlank="1" showInputMessage="1" showErrorMessage="1" sqref="G21:G23 G11 G13:G19 G25:G32 G34:G36" xr:uid="{00000000-0002-0000-0F00-000000000000}">
      <formula1>"Yes, No"</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293276"/>
  </sheetPr>
  <dimension ref="A1:CK179"/>
  <sheetViews>
    <sheetView zoomScale="80" zoomScaleNormal="80" workbookViewId="0">
      <selection activeCell="C2" sqref="C2"/>
    </sheetView>
  </sheetViews>
  <sheetFormatPr defaultColWidth="9.1796875" defaultRowHeight="14.5" outlineLevelRow="1" x14ac:dyDescent="0.35"/>
  <cols>
    <col min="1" max="1" width="2.1796875" style="79" customWidth="1"/>
    <col min="2" max="2" width="30.6328125" style="96" customWidth="1"/>
    <col min="3" max="3" width="30.6328125" style="97" customWidth="1"/>
    <col min="4" max="4" width="50.6328125" style="97" customWidth="1"/>
    <col min="5" max="5" width="76.6328125" style="97" customWidth="1"/>
    <col min="6" max="6" width="2.1796875" style="79" customWidth="1"/>
    <col min="7" max="7" width="9.1796875" style="98"/>
    <col min="8" max="8" width="37" style="79" customWidth="1"/>
    <col min="9" max="16384" width="9.1796875" style="79"/>
  </cols>
  <sheetData>
    <row r="1" spans="1:89" s="58" customFormat="1" ht="18.5" customHeight="1" x14ac:dyDescent="0.35">
      <c r="B1" s="70"/>
      <c r="C1" s="69"/>
      <c r="D1" s="70"/>
      <c r="E1" s="79"/>
      <c r="F1" s="62"/>
      <c r="G1" s="79"/>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50"/>
      <c r="CA1" s="50"/>
      <c r="CB1" s="50"/>
      <c r="CC1" s="50"/>
      <c r="CD1" s="50"/>
      <c r="CE1" s="50"/>
      <c r="CF1" s="50"/>
      <c r="CG1" s="50"/>
      <c r="CH1" s="50"/>
      <c r="CI1" s="50"/>
      <c r="CJ1" s="50"/>
      <c r="CK1" s="50"/>
    </row>
    <row r="2" spans="1:89" s="58" customFormat="1" ht="14.5" customHeight="1" x14ac:dyDescent="0.35">
      <c r="A2" s="79"/>
      <c r="B2" s="193"/>
      <c r="C2" s="151"/>
      <c r="D2" s="157" t="s">
        <v>41</v>
      </c>
      <c r="E2" s="11" t="s">
        <v>3679</v>
      </c>
      <c r="F2" s="79"/>
      <c r="G2" s="13" t="s">
        <v>342</v>
      </c>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50"/>
      <c r="CE2" s="50"/>
      <c r="CF2" s="50"/>
      <c r="CG2" s="50"/>
      <c r="CH2" s="50"/>
      <c r="CI2" s="50"/>
      <c r="CJ2" s="50"/>
      <c r="CK2" s="50"/>
    </row>
    <row r="3" spans="1:89" s="58" customFormat="1" ht="14.5" customHeight="1" x14ac:dyDescent="0.35">
      <c r="A3" s="79"/>
      <c r="B3" s="193"/>
      <c r="C3" s="151"/>
      <c r="D3" s="157" t="s">
        <v>226</v>
      </c>
      <c r="E3" s="11">
        <f>COUNTIF(E8:E93,"*")</f>
        <v>66</v>
      </c>
      <c r="F3" s="79"/>
      <c r="G3" s="185">
        <f>COUNTIF(G8:G93,"Yes")</f>
        <v>66</v>
      </c>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50"/>
      <c r="BU3" s="50"/>
      <c r="BV3" s="50"/>
      <c r="BW3" s="50"/>
      <c r="BX3" s="50"/>
      <c r="BY3" s="50"/>
      <c r="BZ3" s="50"/>
      <c r="CA3" s="50"/>
      <c r="CB3" s="50"/>
      <c r="CC3" s="50"/>
      <c r="CD3" s="50"/>
      <c r="CE3" s="50"/>
      <c r="CF3" s="50"/>
      <c r="CG3" s="50"/>
      <c r="CH3" s="50"/>
      <c r="CI3" s="50"/>
      <c r="CJ3" s="50"/>
      <c r="CK3" s="50"/>
    </row>
    <row r="4" spans="1:89" s="58" customFormat="1" ht="14.5" customHeight="1" x14ac:dyDescent="0.35">
      <c r="A4" s="79"/>
      <c r="B4" s="193"/>
      <c r="C4" s="151"/>
      <c r="D4" s="158" t="s">
        <v>79</v>
      </c>
      <c r="E4" s="15" t="str">
        <f>'(12) Digital Engagement'!E4</f>
        <v>R25 Model Bank</v>
      </c>
      <c r="F4" s="79"/>
      <c r="G4" s="186"/>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c r="BO4" s="50"/>
      <c r="BP4" s="50"/>
      <c r="BQ4" s="50"/>
      <c r="BR4" s="50"/>
      <c r="BS4" s="50"/>
      <c r="BT4" s="50"/>
      <c r="BU4" s="50"/>
      <c r="BV4" s="50"/>
      <c r="BW4" s="50"/>
      <c r="BX4" s="50"/>
      <c r="BY4" s="50"/>
      <c r="BZ4" s="50"/>
      <c r="CA4" s="50"/>
      <c r="CB4" s="50"/>
      <c r="CC4" s="50"/>
      <c r="CD4" s="50"/>
      <c r="CE4" s="50"/>
      <c r="CF4" s="50"/>
      <c r="CG4" s="50"/>
      <c r="CH4" s="50"/>
      <c r="CI4" s="50"/>
      <c r="CJ4" s="50"/>
      <c r="CK4" s="50"/>
    </row>
    <row r="5" spans="1:89" s="58" customFormat="1" ht="18.5" customHeight="1" x14ac:dyDescent="0.35">
      <c r="A5" s="79"/>
      <c r="B5" s="149"/>
      <c r="C5" s="149"/>
      <c r="D5" s="72"/>
      <c r="E5" s="73"/>
      <c r="F5" s="79"/>
      <c r="G5" s="9"/>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0"/>
      <c r="BK5" s="50"/>
      <c r="BL5" s="50"/>
      <c r="BM5" s="50"/>
      <c r="BN5" s="50"/>
      <c r="BO5" s="50"/>
      <c r="BP5" s="50"/>
      <c r="BQ5" s="50"/>
      <c r="BR5" s="50"/>
      <c r="BS5" s="50"/>
      <c r="BT5" s="50"/>
      <c r="BU5" s="50"/>
      <c r="BV5" s="50"/>
      <c r="BW5" s="50"/>
      <c r="BX5" s="50"/>
      <c r="BY5" s="50"/>
      <c r="BZ5" s="50"/>
      <c r="CA5" s="50"/>
      <c r="CB5" s="50"/>
      <c r="CC5" s="50"/>
      <c r="CD5" s="50"/>
      <c r="CE5" s="50"/>
      <c r="CF5" s="50"/>
      <c r="CG5" s="50"/>
      <c r="CH5" s="50"/>
      <c r="CI5" s="50"/>
      <c r="CJ5" s="50"/>
      <c r="CK5" s="50"/>
    </row>
    <row r="6" spans="1:89" s="58" customFormat="1" x14ac:dyDescent="0.35">
      <c r="A6" s="79"/>
      <c r="B6" s="191"/>
      <c r="C6" s="192"/>
      <c r="D6" s="192"/>
      <c r="E6" s="192"/>
      <c r="F6" s="79"/>
      <c r="G6" s="18" t="s">
        <v>340</v>
      </c>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row>
    <row r="7" spans="1:89" s="58" customFormat="1" x14ac:dyDescent="0.35">
      <c r="A7" s="79"/>
      <c r="B7" s="75" t="s">
        <v>83</v>
      </c>
      <c r="C7" s="75" t="s">
        <v>86</v>
      </c>
      <c r="D7" s="75" t="s">
        <v>87</v>
      </c>
      <c r="E7" s="75" t="s">
        <v>54</v>
      </c>
      <c r="F7" s="79"/>
      <c r="G7" s="76" t="s">
        <v>342</v>
      </c>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c r="AV7" s="50"/>
      <c r="AW7" s="50"/>
      <c r="AX7" s="50"/>
      <c r="AY7" s="50"/>
      <c r="AZ7" s="50"/>
      <c r="BA7" s="50"/>
      <c r="BB7" s="50"/>
      <c r="BC7" s="50"/>
      <c r="BD7" s="50"/>
      <c r="BE7" s="50"/>
      <c r="BF7" s="50"/>
      <c r="BG7" s="50"/>
      <c r="BH7" s="50"/>
      <c r="BI7" s="50"/>
      <c r="BJ7" s="50"/>
      <c r="BK7" s="50"/>
      <c r="BL7" s="50"/>
      <c r="BM7" s="50"/>
      <c r="BN7" s="50"/>
      <c r="BO7" s="50"/>
      <c r="BP7" s="50"/>
      <c r="BQ7" s="50"/>
      <c r="BR7" s="50"/>
      <c r="BS7" s="50"/>
      <c r="BT7" s="50"/>
      <c r="BU7" s="50"/>
      <c r="BV7" s="50"/>
      <c r="BW7" s="50"/>
      <c r="BX7" s="50"/>
      <c r="BY7" s="50"/>
      <c r="BZ7" s="50"/>
      <c r="CA7" s="50"/>
      <c r="CB7" s="50"/>
      <c r="CC7" s="50"/>
      <c r="CD7" s="50"/>
      <c r="CE7" s="50"/>
      <c r="CF7" s="50"/>
      <c r="CG7" s="50"/>
      <c r="CH7" s="50"/>
      <c r="CI7" s="50"/>
      <c r="CJ7" s="50"/>
      <c r="CK7" s="50"/>
    </row>
    <row r="8" spans="1:89" ht="29" x14ac:dyDescent="0.35">
      <c r="B8" s="77" t="s">
        <v>3679</v>
      </c>
      <c r="C8" s="77"/>
      <c r="D8" s="2"/>
      <c r="E8" s="2"/>
      <c r="G8" s="78"/>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0"/>
      <c r="BR8" s="50"/>
      <c r="BS8" s="50"/>
      <c r="BT8" s="50"/>
      <c r="BU8" s="50"/>
      <c r="BV8" s="50"/>
      <c r="BW8" s="50"/>
      <c r="BX8" s="50"/>
      <c r="BY8" s="50"/>
      <c r="BZ8" s="50"/>
      <c r="CA8" s="50"/>
      <c r="CB8" s="50"/>
      <c r="CC8" s="50"/>
      <c r="CD8" s="50"/>
      <c r="CE8" s="50"/>
      <c r="CF8" s="50"/>
      <c r="CG8" s="50"/>
      <c r="CH8" s="50"/>
      <c r="CI8" s="50"/>
      <c r="CJ8" s="50"/>
      <c r="CK8" s="50"/>
    </row>
    <row r="9" spans="1:89" x14ac:dyDescent="0.35">
      <c r="B9" s="77"/>
      <c r="C9" s="77" t="s">
        <v>5318</v>
      </c>
      <c r="D9" s="2"/>
      <c r="E9" s="2"/>
      <c r="G9" s="80">
        <f>COUNTIF(G10:G17,"Yes")</f>
        <v>8</v>
      </c>
      <c r="H9" s="74"/>
    </row>
    <row r="10" spans="1:89" ht="174" outlineLevel="1" x14ac:dyDescent="0.35">
      <c r="B10" s="77"/>
      <c r="C10" s="2"/>
      <c r="D10" s="2" t="s">
        <v>5319</v>
      </c>
      <c r="E10" s="2" t="s">
        <v>5323</v>
      </c>
      <c r="G10" s="82" t="s">
        <v>341</v>
      </c>
    </row>
    <row r="11" spans="1:89" ht="101.5" outlineLevel="1" x14ac:dyDescent="0.35">
      <c r="B11" s="77"/>
      <c r="C11" s="2"/>
      <c r="D11" s="2" t="s">
        <v>5320</v>
      </c>
      <c r="E11" s="2" t="s">
        <v>5324</v>
      </c>
      <c r="G11" s="82" t="s">
        <v>341</v>
      </c>
    </row>
    <row r="12" spans="1:89" ht="87" outlineLevel="1" x14ac:dyDescent="0.35">
      <c r="B12" s="77"/>
      <c r="C12" s="2"/>
      <c r="D12" s="2" t="s">
        <v>5321</v>
      </c>
      <c r="E12" s="2" t="s">
        <v>5325</v>
      </c>
      <c r="G12" s="82" t="s">
        <v>341</v>
      </c>
    </row>
    <row r="13" spans="1:89" ht="101.5" outlineLevel="1" x14ac:dyDescent="0.35">
      <c r="B13" s="77"/>
      <c r="C13" s="2"/>
      <c r="D13" s="2" t="s">
        <v>5322</v>
      </c>
      <c r="E13" s="2" t="s">
        <v>5326</v>
      </c>
      <c r="G13" s="82" t="s">
        <v>341</v>
      </c>
    </row>
    <row r="14" spans="1:89" ht="58" outlineLevel="1" x14ac:dyDescent="0.35">
      <c r="B14" s="77"/>
      <c r="C14" s="2"/>
      <c r="D14" s="2" t="s">
        <v>5295</v>
      </c>
      <c r="E14" s="2" t="s">
        <v>5305</v>
      </c>
      <c r="G14" s="82" t="s">
        <v>341</v>
      </c>
    </row>
    <row r="15" spans="1:89" ht="203" outlineLevel="1" x14ac:dyDescent="0.35">
      <c r="B15" s="77"/>
      <c r="C15" s="2"/>
      <c r="D15" s="2" t="s">
        <v>5296</v>
      </c>
      <c r="E15" s="2" t="s">
        <v>5327</v>
      </c>
      <c r="G15" s="82" t="s">
        <v>341</v>
      </c>
    </row>
    <row r="16" spans="1:89" ht="58" outlineLevel="1" x14ac:dyDescent="0.35">
      <c r="B16" s="77"/>
      <c r="C16" s="2"/>
      <c r="D16" s="2" t="s">
        <v>5297</v>
      </c>
      <c r="E16" s="2" t="s">
        <v>5298</v>
      </c>
      <c r="G16" s="82" t="s">
        <v>341</v>
      </c>
    </row>
    <row r="17" spans="2:7" ht="188.5" outlineLevel="1" x14ac:dyDescent="0.35">
      <c r="B17" s="77"/>
      <c r="C17" s="2"/>
      <c r="D17" s="2" t="s">
        <v>1446</v>
      </c>
      <c r="E17" s="2" t="s">
        <v>5306</v>
      </c>
      <c r="G17" s="82" t="s">
        <v>341</v>
      </c>
    </row>
    <row r="18" spans="2:7" ht="29" x14ac:dyDescent="0.35">
      <c r="B18" s="84"/>
      <c r="C18" s="77" t="s">
        <v>2912</v>
      </c>
      <c r="D18" s="1"/>
      <c r="E18" s="1"/>
      <c r="G18" s="80">
        <f>COUNTIF(G20:G28,"Yes")</f>
        <v>8</v>
      </c>
    </row>
    <row r="19" spans="2:7" x14ac:dyDescent="0.35">
      <c r="B19" s="77"/>
      <c r="C19" s="77"/>
      <c r="D19" s="81" t="s">
        <v>1547</v>
      </c>
      <c r="E19" s="2"/>
      <c r="G19" s="137"/>
    </row>
    <row r="20" spans="2:7" ht="72.5" outlineLevel="1" x14ac:dyDescent="0.35">
      <c r="B20" s="77"/>
      <c r="C20" s="1"/>
      <c r="D20" s="2" t="s">
        <v>1189</v>
      </c>
      <c r="E20" s="2" t="s">
        <v>3924</v>
      </c>
      <c r="G20" s="82" t="s">
        <v>341</v>
      </c>
    </row>
    <row r="21" spans="2:7" s="50" customFormat="1" ht="101.5" outlineLevel="1" x14ac:dyDescent="0.35">
      <c r="B21" s="21"/>
      <c r="C21" s="21"/>
      <c r="D21" s="2" t="s">
        <v>1789</v>
      </c>
      <c r="E21" s="2" t="s">
        <v>4435</v>
      </c>
      <c r="F21" s="79"/>
      <c r="G21" s="26" t="s">
        <v>341</v>
      </c>
    </row>
    <row r="22" spans="2:7" ht="87" outlineLevel="1" x14ac:dyDescent="0.35">
      <c r="B22" s="77"/>
      <c r="C22" s="2"/>
      <c r="D22" s="2" t="s">
        <v>1114</v>
      </c>
      <c r="E22" s="2" t="s">
        <v>3991</v>
      </c>
      <c r="G22" s="82" t="s">
        <v>341</v>
      </c>
    </row>
    <row r="23" spans="2:7" ht="58" outlineLevel="1" x14ac:dyDescent="0.35">
      <c r="B23" s="77"/>
      <c r="C23" s="2"/>
      <c r="D23" s="2" t="s">
        <v>3362</v>
      </c>
      <c r="E23" s="2" t="s">
        <v>3363</v>
      </c>
      <c r="G23" s="82" t="s">
        <v>341</v>
      </c>
    </row>
    <row r="24" spans="2:7" ht="58" outlineLevel="1" x14ac:dyDescent="0.35">
      <c r="B24" s="77"/>
      <c r="C24" s="2"/>
      <c r="D24" s="2" t="s">
        <v>1112</v>
      </c>
      <c r="E24" s="2" t="s">
        <v>1447</v>
      </c>
      <c r="G24" s="82" t="s">
        <v>341</v>
      </c>
    </row>
    <row r="25" spans="2:7" x14ac:dyDescent="0.35">
      <c r="B25" s="77"/>
      <c r="C25" s="77"/>
      <c r="D25" s="81" t="s">
        <v>1742</v>
      </c>
      <c r="E25" s="2"/>
      <c r="G25" s="137"/>
    </row>
    <row r="26" spans="2:7" ht="29" outlineLevel="1" x14ac:dyDescent="0.35">
      <c r="B26" s="77"/>
      <c r="C26" s="2"/>
      <c r="D26" s="2" t="s">
        <v>2047</v>
      </c>
      <c r="E26" s="2" t="s">
        <v>1756</v>
      </c>
      <c r="G26" s="26" t="s">
        <v>341</v>
      </c>
    </row>
    <row r="27" spans="2:7" ht="29" outlineLevel="1" x14ac:dyDescent="0.35">
      <c r="B27" s="77"/>
      <c r="C27" s="2"/>
      <c r="D27" s="2" t="s">
        <v>2048</v>
      </c>
      <c r="E27" s="2" t="s">
        <v>1741</v>
      </c>
      <c r="G27" s="26" t="s">
        <v>341</v>
      </c>
    </row>
    <row r="28" spans="2:7" ht="87" outlineLevel="1" x14ac:dyDescent="0.35">
      <c r="B28" s="77"/>
      <c r="C28" s="2"/>
      <c r="D28" s="2" t="s">
        <v>2049</v>
      </c>
      <c r="E28" s="2" t="s">
        <v>2070</v>
      </c>
      <c r="G28" s="26" t="s">
        <v>341</v>
      </c>
    </row>
    <row r="29" spans="2:7" x14ac:dyDescent="0.35">
      <c r="B29" s="77"/>
      <c r="C29" s="77" t="s">
        <v>2734</v>
      </c>
      <c r="D29" s="2"/>
      <c r="E29" s="2"/>
      <c r="G29" s="80">
        <f>COUNTIF(G30:G33,"Yes")</f>
        <v>3</v>
      </c>
    </row>
    <row r="30" spans="2:7" x14ac:dyDescent="0.35">
      <c r="B30" s="77"/>
      <c r="C30" s="77"/>
      <c r="D30" s="81" t="s">
        <v>5674</v>
      </c>
      <c r="E30" s="2"/>
      <c r="G30" s="137"/>
    </row>
    <row r="31" spans="2:7" ht="116" outlineLevel="1" x14ac:dyDescent="0.35">
      <c r="B31" s="77"/>
      <c r="C31" s="77"/>
      <c r="D31" s="2" t="s">
        <v>5675</v>
      </c>
      <c r="E31" s="2" t="s">
        <v>5512</v>
      </c>
      <c r="G31" s="26" t="s">
        <v>341</v>
      </c>
    </row>
    <row r="32" spans="2:7" ht="101.5" outlineLevel="1" x14ac:dyDescent="0.35">
      <c r="B32" s="77"/>
      <c r="C32" s="77"/>
      <c r="D32" s="2" t="s">
        <v>5511</v>
      </c>
      <c r="E32" s="2" t="s">
        <v>5513</v>
      </c>
      <c r="G32" s="26" t="s">
        <v>341</v>
      </c>
    </row>
    <row r="33" spans="2:7" ht="29" outlineLevel="1" x14ac:dyDescent="0.35">
      <c r="B33" s="77"/>
      <c r="C33" s="77"/>
      <c r="D33" s="2" t="s">
        <v>2422</v>
      </c>
      <c r="E33" s="2" t="s">
        <v>5514</v>
      </c>
      <c r="G33" s="26" t="s">
        <v>341</v>
      </c>
    </row>
    <row r="34" spans="2:7" x14ac:dyDescent="0.35">
      <c r="B34" s="77"/>
      <c r="C34" s="77" t="s">
        <v>2046</v>
      </c>
      <c r="D34" s="2"/>
      <c r="E34" s="2"/>
      <c r="G34" s="80">
        <f>COUNTIF(G35:G36,"Yes")</f>
        <v>1</v>
      </c>
    </row>
    <row r="35" spans="2:7" ht="58" outlineLevel="1" x14ac:dyDescent="0.35">
      <c r="B35" s="77"/>
      <c r="C35" s="77"/>
      <c r="D35" s="2" t="s">
        <v>2045</v>
      </c>
      <c r="E35" s="2" t="s">
        <v>4202</v>
      </c>
      <c r="G35" s="26" t="s">
        <v>341</v>
      </c>
    </row>
    <row r="36" spans="2:7" x14ac:dyDescent="0.35">
      <c r="B36" s="77"/>
      <c r="C36" s="77" t="s">
        <v>2660</v>
      </c>
      <c r="D36" s="2"/>
      <c r="E36" s="2"/>
      <c r="G36" s="80">
        <f>COUNTIF(G37:G39,"Yes")</f>
        <v>3</v>
      </c>
    </row>
    <row r="37" spans="2:7" ht="29" outlineLevel="1" x14ac:dyDescent="0.35">
      <c r="B37" s="77"/>
      <c r="C37" s="1"/>
      <c r="D37" s="2" t="s">
        <v>375</v>
      </c>
      <c r="E37" s="2" t="s">
        <v>1221</v>
      </c>
      <c r="G37" s="82" t="s">
        <v>341</v>
      </c>
    </row>
    <row r="38" spans="2:7" ht="58" outlineLevel="1" x14ac:dyDescent="0.35">
      <c r="B38" s="77"/>
      <c r="C38" s="1"/>
      <c r="D38" s="2" t="s">
        <v>374</v>
      </c>
      <c r="E38" s="2" t="s">
        <v>4454</v>
      </c>
      <c r="G38" s="82" t="s">
        <v>341</v>
      </c>
    </row>
    <row r="39" spans="2:7" ht="159.5" outlineLevel="1" x14ac:dyDescent="0.35">
      <c r="B39" s="77"/>
      <c r="C39" s="1"/>
      <c r="D39" s="2" t="s">
        <v>4928</v>
      </c>
      <c r="E39" s="2" t="s">
        <v>4929</v>
      </c>
      <c r="G39" s="82" t="s">
        <v>341</v>
      </c>
    </row>
    <row r="40" spans="2:7" x14ac:dyDescent="0.35">
      <c r="B40" s="77"/>
      <c r="C40" s="77" t="s">
        <v>2661</v>
      </c>
      <c r="D40" s="77"/>
      <c r="E40" s="77"/>
      <c r="G40" s="80">
        <f>COUNTIF(G41:G45,"Yes")</f>
        <v>4</v>
      </c>
    </row>
    <row r="41" spans="2:7" ht="101.5" outlineLevel="1" x14ac:dyDescent="0.35">
      <c r="B41" s="77"/>
      <c r="C41" s="77"/>
      <c r="D41" s="2" t="s">
        <v>2662</v>
      </c>
      <c r="E41" s="2" t="s">
        <v>3908</v>
      </c>
      <c r="F41" s="97"/>
      <c r="G41" s="82" t="s">
        <v>341</v>
      </c>
    </row>
    <row r="42" spans="2:7" ht="101.5" outlineLevel="1" x14ac:dyDescent="0.35">
      <c r="B42" s="77"/>
      <c r="C42" s="77"/>
      <c r="D42" s="2" t="s">
        <v>2707</v>
      </c>
      <c r="E42" s="2" t="s">
        <v>4017</v>
      </c>
      <c r="F42" s="97"/>
      <c r="G42" s="82" t="s">
        <v>341</v>
      </c>
    </row>
    <row r="43" spans="2:7" ht="130.5" outlineLevel="1" x14ac:dyDescent="0.35">
      <c r="B43" s="77"/>
      <c r="C43" s="77"/>
      <c r="D43" s="2" t="s">
        <v>2938</v>
      </c>
      <c r="E43" s="2" t="s">
        <v>2939</v>
      </c>
      <c r="F43" s="97"/>
      <c r="G43" s="82" t="s">
        <v>341</v>
      </c>
    </row>
    <row r="44" spans="2:7" ht="116" outlineLevel="1" x14ac:dyDescent="0.35">
      <c r="B44" s="77"/>
      <c r="C44" s="77"/>
      <c r="D44" s="2" t="s">
        <v>2706</v>
      </c>
      <c r="E44" s="2" t="s">
        <v>2708</v>
      </c>
      <c r="F44" s="97"/>
      <c r="G44" s="82" t="s">
        <v>341</v>
      </c>
    </row>
    <row r="45" spans="2:7" x14ac:dyDescent="0.35">
      <c r="B45" s="77"/>
      <c r="C45" s="77" t="s">
        <v>3321</v>
      </c>
      <c r="D45" s="77"/>
      <c r="E45" s="77"/>
      <c r="G45" s="80">
        <f>COUNTIF(G46:G49,"Yes")</f>
        <v>3</v>
      </c>
    </row>
    <row r="46" spans="2:7" ht="58" outlineLevel="1" x14ac:dyDescent="0.35">
      <c r="B46" s="77"/>
      <c r="C46" s="77"/>
      <c r="D46" s="2" t="s">
        <v>3322</v>
      </c>
      <c r="E46" s="2" t="s">
        <v>3330</v>
      </c>
      <c r="F46" s="97"/>
      <c r="G46" s="82" t="s">
        <v>341</v>
      </c>
    </row>
    <row r="47" spans="2:7" ht="58" outlineLevel="1" x14ac:dyDescent="0.35">
      <c r="B47" s="77"/>
      <c r="C47" s="77"/>
      <c r="D47" s="2" t="s">
        <v>3323</v>
      </c>
      <c r="E47" s="2" t="s">
        <v>4055</v>
      </c>
      <c r="F47" s="97"/>
      <c r="G47" s="82" t="s">
        <v>341</v>
      </c>
    </row>
    <row r="48" spans="2:7" ht="72.5" outlineLevel="1" x14ac:dyDescent="0.35">
      <c r="B48" s="77"/>
      <c r="C48" s="77"/>
      <c r="D48" s="2" t="s">
        <v>3324</v>
      </c>
      <c r="E48" s="2" t="s">
        <v>4056</v>
      </c>
      <c r="F48" s="97"/>
      <c r="G48" s="82" t="s">
        <v>341</v>
      </c>
    </row>
    <row r="49" spans="2:7" x14ac:dyDescent="0.35">
      <c r="B49" s="77"/>
      <c r="C49" s="77" t="s">
        <v>4487</v>
      </c>
      <c r="D49" s="77"/>
      <c r="E49" s="77"/>
      <c r="G49" s="80">
        <f>COUNTIF(G50:G51,"Yes")</f>
        <v>2</v>
      </c>
    </row>
    <row r="50" spans="2:7" ht="130.5" outlineLevel="1" x14ac:dyDescent="0.35">
      <c r="B50" s="77"/>
      <c r="C50" s="77"/>
      <c r="D50" s="2" t="s">
        <v>4488</v>
      </c>
      <c r="E50" s="2" t="s">
        <v>4635</v>
      </c>
      <c r="F50" s="97"/>
      <c r="G50" s="82" t="s">
        <v>341</v>
      </c>
    </row>
    <row r="51" spans="2:7" ht="101.5" outlineLevel="1" x14ac:dyDescent="0.35">
      <c r="B51" s="77"/>
      <c r="C51" s="77"/>
      <c r="D51" s="2" t="s">
        <v>4489</v>
      </c>
      <c r="E51" s="2" t="s">
        <v>4637</v>
      </c>
      <c r="F51" s="97"/>
      <c r="G51" s="82" t="s">
        <v>341</v>
      </c>
    </row>
    <row r="52" spans="2:7" x14ac:dyDescent="0.35">
      <c r="B52" s="77"/>
      <c r="C52" s="77" t="s">
        <v>4820</v>
      </c>
      <c r="D52" s="77"/>
      <c r="E52" s="77"/>
      <c r="G52" s="80">
        <f>COUNTIF(G53:G56,"Yes")</f>
        <v>2</v>
      </c>
    </row>
    <row r="53" spans="2:7" ht="101.5" outlineLevel="1" x14ac:dyDescent="0.35">
      <c r="B53" s="77"/>
      <c r="C53" s="77"/>
      <c r="D53" s="2" t="s">
        <v>4821</v>
      </c>
      <c r="E53" s="2" t="s">
        <v>4852</v>
      </c>
      <c r="F53" s="97"/>
      <c r="G53" s="82" t="s">
        <v>341</v>
      </c>
    </row>
    <row r="54" spans="2:7" ht="76.5" customHeight="1" outlineLevel="1" x14ac:dyDescent="0.35">
      <c r="B54" s="77"/>
      <c r="C54" s="77"/>
      <c r="D54" s="2" t="s">
        <v>4822</v>
      </c>
      <c r="E54" s="2" t="s">
        <v>4823</v>
      </c>
      <c r="F54" s="97"/>
      <c r="G54" s="82" t="s">
        <v>341</v>
      </c>
    </row>
    <row r="55" spans="2:7" ht="29" x14ac:dyDescent="0.35">
      <c r="B55" s="77"/>
      <c r="C55" s="77" t="s">
        <v>5077</v>
      </c>
      <c r="D55" s="2"/>
      <c r="E55" s="2"/>
      <c r="G55" s="80">
        <f>COUNTIF(G56:G78,"Yes")</f>
        <v>20</v>
      </c>
    </row>
    <row r="56" spans="2:7" x14ac:dyDescent="0.35">
      <c r="B56" s="77"/>
      <c r="C56" s="77"/>
      <c r="D56" s="81" t="s">
        <v>4982</v>
      </c>
      <c r="E56" s="2"/>
      <c r="G56" s="137"/>
    </row>
    <row r="57" spans="2:7" ht="43.5" outlineLevel="1" x14ac:dyDescent="0.35">
      <c r="B57" s="77"/>
      <c r="C57" s="77"/>
      <c r="D57" s="2" t="s">
        <v>4983</v>
      </c>
      <c r="E57" s="2" t="s">
        <v>4989</v>
      </c>
      <c r="G57" s="26" t="s">
        <v>341</v>
      </c>
    </row>
    <row r="58" spans="2:7" ht="43.5" outlineLevel="1" x14ac:dyDescent="0.35">
      <c r="B58" s="77"/>
      <c r="C58" s="77"/>
      <c r="D58" s="2" t="s">
        <v>5156</v>
      </c>
      <c r="E58" s="2" t="s">
        <v>4990</v>
      </c>
      <c r="G58" s="26" t="s">
        <v>341</v>
      </c>
    </row>
    <row r="59" spans="2:7" ht="58" outlineLevel="1" x14ac:dyDescent="0.35">
      <c r="B59" s="77"/>
      <c r="C59" s="77"/>
      <c r="D59" s="2" t="s">
        <v>4984</v>
      </c>
      <c r="E59" s="2" t="s">
        <v>4991</v>
      </c>
      <c r="G59" s="26" t="s">
        <v>341</v>
      </c>
    </row>
    <row r="60" spans="2:7" ht="43.5" outlineLevel="1" x14ac:dyDescent="0.35">
      <c r="B60" s="77"/>
      <c r="C60" s="77"/>
      <c r="D60" s="2" t="s">
        <v>4985</v>
      </c>
      <c r="E60" s="2" t="s">
        <v>4992</v>
      </c>
      <c r="G60" s="26" t="s">
        <v>341</v>
      </c>
    </row>
    <row r="61" spans="2:7" ht="43.5" outlineLevel="1" x14ac:dyDescent="0.35">
      <c r="B61" s="77"/>
      <c r="C61" s="77"/>
      <c r="D61" s="2" t="s">
        <v>4986</v>
      </c>
      <c r="E61" s="2" t="s">
        <v>4993</v>
      </c>
      <c r="G61" s="26" t="s">
        <v>341</v>
      </c>
    </row>
    <row r="62" spans="2:7" ht="145" outlineLevel="1" x14ac:dyDescent="0.35">
      <c r="B62" s="77"/>
      <c r="C62" s="77"/>
      <c r="D62" s="2" t="s">
        <v>5500</v>
      </c>
      <c r="E62" s="2" t="s">
        <v>5501</v>
      </c>
      <c r="G62" s="26" t="s">
        <v>341</v>
      </c>
    </row>
    <row r="63" spans="2:7" ht="43.5" outlineLevel="1" x14ac:dyDescent="0.35">
      <c r="B63" s="77"/>
      <c r="C63" s="77"/>
      <c r="D63" s="2" t="s">
        <v>5069</v>
      </c>
      <c r="E63" s="2" t="s">
        <v>5073</v>
      </c>
      <c r="G63" s="26" t="s">
        <v>341</v>
      </c>
    </row>
    <row r="64" spans="2:7" ht="43.5" outlineLevel="1" x14ac:dyDescent="0.35">
      <c r="B64" s="77"/>
      <c r="C64" s="77"/>
      <c r="D64" s="2" t="s">
        <v>4987</v>
      </c>
      <c r="E64" s="2" t="s">
        <v>4994</v>
      </c>
      <c r="G64" s="26" t="s">
        <v>341</v>
      </c>
    </row>
    <row r="65" spans="2:7" ht="43.5" outlineLevel="1" x14ac:dyDescent="0.35">
      <c r="B65" s="77"/>
      <c r="C65" s="77"/>
      <c r="D65" s="2" t="s">
        <v>4997</v>
      </c>
      <c r="E65" s="2" t="s">
        <v>4995</v>
      </c>
      <c r="G65" s="26" t="s">
        <v>341</v>
      </c>
    </row>
    <row r="66" spans="2:7" ht="29" outlineLevel="1" x14ac:dyDescent="0.35">
      <c r="B66" s="77"/>
      <c r="C66" s="77"/>
      <c r="D66" s="2" t="s">
        <v>5070</v>
      </c>
      <c r="E66" s="2" t="s">
        <v>5074</v>
      </c>
      <c r="G66" s="26" t="s">
        <v>341</v>
      </c>
    </row>
    <row r="67" spans="2:7" ht="87" outlineLevel="1" x14ac:dyDescent="0.35">
      <c r="B67" s="77"/>
      <c r="C67" s="77"/>
      <c r="D67" s="2" t="s">
        <v>5071</v>
      </c>
      <c r="E67" s="2" t="s">
        <v>5075</v>
      </c>
      <c r="G67" s="26" t="s">
        <v>341</v>
      </c>
    </row>
    <row r="68" spans="2:7" ht="43.5" outlineLevel="1" x14ac:dyDescent="0.35">
      <c r="B68" s="77"/>
      <c r="C68" s="77"/>
      <c r="D68" s="2" t="s">
        <v>5072</v>
      </c>
      <c r="E68" s="2" t="s">
        <v>5076</v>
      </c>
      <c r="G68" s="26" t="s">
        <v>341</v>
      </c>
    </row>
    <row r="69" spans="2:7" ht="43.5" outlineLevel="1" x14ac:dyDescent="0.35">
      <c r="B69" s="77"/>
      <c r="C69" s="77"/>
      <c r="D69" s="2" t="s">
        <v>4988</v>
      </c>
      <c r="E69" s="2" t="s">
        <v>4996</v>
      </c>
      <c r="G69" s="26" t="s">
        <v>341</v>
      </c>
    </row>
    <row r="70" spans="2:7" x14ac:dyDescent="0.35">
      <c r="B70" s="77"/>
      <c r="C70" s="77"/>
      <c r="D70" s="81" t="s">
        <v>5078</v>
      </c>
      <c r="E70" s="2"/>
      <c r="G70" s="137"/>
    </row>
    <row r="71" spans="2:7" ht="58" outlineLevel="1" x14ac:dyDescent="0.35">
      <c r="B71" s="77"/>
      <c r="C71" s="77"/>
      <c r="D71" s="2" t="s">
        <v>5079</v>
      </c>
      <c r="E71" s="2" t="s">
        <v>5082</v>
      </c>
      <c r="G71" s="26" t="s">
        <v>341</v>
      </c>
    </row>
    <row r="72" spans="2:7" ht="43.5" outlineLevel="1" x14ac:dyDescent="0.35">
      <c r="B72" s="77"/>
      <c r="C72" s="77"/>
      <c r="D72" s="2" t="s">
        <v>5080</v>
      </c>
      <c r="E72" s="2" t="s">
        <v>5083</v>
      </c>
      <c r="G72" s="26" t="s">
        <v>341</v>
      </c>
    </row>
    <row r="73" spans="2:7" ht="43.5" outlineLevel="1" x14ac:dyDescent="0.35">
      <c r="B73" s="77"/>
      <c r="C73" s="77"/>
      <c r="D73" s="2" t="s">
        <v>5081</v>
      </c>
      <c r="E73" s="2" t="s">
        <v>5084</v>
      </c>
      <c r="G73" s="26" t="s">
        <v>341</v>
      </c>
    </row>
    <row r="74" spans="2:7" x14ac:dyDescent="0.35">
      <c r="B74" s="77"/>
      <c r="C74" s="77"/>
      <c r="D74" s="81" t="s">
        <v>5502</v>
      </c>
      <c r="E74" s="2"/>
      <c r="G74" s="137"/>
    </row>
    <row r="75" spans="2:7" ht="145" outlineLevel="1" x14ac:dyDescent="0.35">
      <c r="B75" s="77"/>
      <c r="C75" s="77"/>
      <c r="D75" s="2" t="s">
        <v>5507</v>
      </c>
      <c r="E75" s="2" t="s">
        <v>5503</v>
      </c>
      <c r="G75" s="26" t="s">
        <v>341</v>
      </c>
    </row>
    <row r="76" spans="2:7" ht="43.5" outlineLevel="1" x14ac:dyDescent="0.35">
      <c r="B76" s="77"/>
      <c r="C76" s="77"/>
      <c r="D76" s="2" t="s">
        <v>5508</v>
      </c>
      <c r="E76" s="2" t="s">
        <v>5504</v>
      </c>
      <c r="G76" s="26" t="s">
        <v>341</v>
      </c>
    </row>
    <row r="77" spans="2:7" ht="174" outlineLevel="1" x14ac:dyDescent="0.35">
      <c r="B77" s="77"/>
      <c r="C77" s="77"/>
      <c r="D77" s="2" t="s">
        <v>5509</v>
      </c>
      <c r="E77" s="2" t="s">
        <v>5505</v>
      </c>
      <c r="G77" s="26" t="s">
        <v>341</v>
      </c>
    </row>
    <row r="78" spans="2:7" ht="29" outlineLevel="1" x14ac:dyDescent="0.35">
      <c r="B78" s="77"/>
      <c r="C78" s="77"/>
      <c r="D78" s="2" t="s">
        <v>5510</v>
      </c>
      <c r="E78" s="2" t="s">
        <v>5506</v>
      </c>
      <c r="G78" s="26" t="s">
        <v>341</v>
      </c>
    </row>
    <row r="79" spans="2:7" x14ac:dyDescent="0.35">
      <c r="B79" s="77"/>
      <c r="C79" s="77" t="s">
        <v>5333</v>
      </c>
      <c r="D79" s="77"/>
      <c r="E79" s="77"/>
      <c r="G79" s="80">
        <f>COUNTIF(G80:G84,"Yes")</f>
        <v>5</v>
      </c>
    </row>
    <row r="80" spans="2:7" ht="130.5" outlineLevel="1" x14ac:dyDescent="0.35">
      <c r="B80" s="77"/>
      <c r="C80" s="77"/>
      <c r="D80" s="2" t="s">
        <v>5328</v>
      </c>
      <c r="E80" s="2" t="s">
        <v>5334</v>
      </c>
      <c r="F80" s="97"/>
      <c r="G80" s="82" t="s">
        <v>341</v>
      </c>
    </row>
    <row r="81" spans="2:7" ht="76.5" customHeight="1" outlineLevel="1" x14ac:dyDescent="0.35">
      <c r="B81" s="77"/>
      <c r="C81" s="77"/>
      <c r="D81" s="2" t="s">
        <v>5329</v>
      </c>
      <c r="E81" s="2" t="s">
        <v>5335</v>
      </c>
      <c r="F81" s="97"/>
      <c r="G81" s="82" t="s">
        <v>341</v>
      </c>
    </row>
    <row r="82" spans="2:7" ht="76.5" customHeight="1" outlineLevel="1" x14ac:dyDescent="0.35">
      <c r="B82" s="77"/>
      <c r="C82" s="77"/>
      <c r="D82" s="2" t="s">
        <v>5330</v>
      </c>
      <c r="E82" s="2" t="s">
        <v>5336</v>
      </c>
      <c r="F82" s="97"/>
      <c r="G82" s="82" t="s">
        <v>341</v>
      </c>
    </row>
    <row r="83" spans="2:7" ht="76.5" customHeight="1" outlineLevel="1" x14ac:dyDescent="0.35">
      <c r="B83" s="77"/>
      <c r="C83" s="77"/>
      <c r="D83" s="2" t="s">
        <v>5331</v>
      </c>
      <c r="E83" s="2" t="s">
        <v>5337</v>
      </c>
      <c r="F83" s="97"/>
      <c r="G83" s="82" t="s">
        <v>341</v>
      </c>
    </row>
    <row r="84" spans="2:7" ht="125" customHeight="1" outlineLevel="1" x14ac:dyDescent="0.35">
      <c r="B84" s="77"/>
      <c r="C84" s="77"/>
      <c r="D84" s="2" t="s">
        <v>5332</v>
      </c>
      <c r="E84" s="2" t="s">
        <v>5338</v>
      </c>
      <c r="F84" s="97"/>
      <c r="G84" s="82" t="s">
        <v>341</v>
      </c>
    </row>
    <row r="85" spans="2:7" ht="43.5" x14ac:dyDescent="0.35">
      <c r="B85" s="77"/>
      <c r="C85" s="77" t="s">
        <v>5393</v>
      </c>
      <c r="D85" s="2"/>
      <c r="E85" s="2"/>
      <c r="G85" s="80">
        <f>COUNTIF(G86:G101,"Yes")</f>
        <v>7</v>
      </c>
    </row>
    <row r="86" spans="2:7" x14ac:dyDescent="0.35">
      <c r="B86" s="77"/>
      <c r="C86" s="77"/>
      <c r="D86" s="81" t="s">
        <v>5394</v>
      </c>
      <c r="E86" s="2"/>
      <c r="G86" s="137"/>
    </row>
    <row r="87" spans="2:7" ht="72.5" outlineLevel="1" x14ac:dyDescent="0.35">
      <c r="B87" s="77"/>
      <c r="C87" s="77"/>
      <c r="D87" s="2" t="s">
        <v>5679</v>
      </c>
      <c r="E87" s="2" t="s">
        <v>5401</v>
      </c>
      <c r="G87" s="26" t="s">
        <v>341</v>
      </c>
    </row>
    <row r="88" spans="2:7" ht="87" outlineLevel="1" x14ac:dyDescent="0.35">
      <c r="B88" s="77"/>
      <c r="C88" s="77"/>
      <c r="D88" s="2" t="s">
        <v>5395</v>
      </c>
      <c r="E88" s="2" t="s">
        <v>5402</v>
      </c>
      <c r="G88" s="26" t="s">
        <v>341</v>
      </c>
    </row>
    <row r="89" spans="2:7" ht="72.5" outlineLevel="1" x14ac:dyDescent="0.35">
      <c r="B89" s="77"/>
      <c r="C89" s="77"/>
      <c r="D89" s="2" t="s">
        <v>5396</v>
      </c>
      <c r="E89" s="2" t="s">
        <v>5403</v>
      </c>
      <c r="G89" s="26" t="s">
        <v>341</v>
      </c>
    </row>
    <row r="90" spans="2:7" ht="116" outlineLevel="1" x14ac:dyDescent="0.35">
      <c r="B90" s="77"/>
      <c r="C90" s="77"/>
      <c r="D90" s="2" t="s">
        <v>5397</v>
      </c>
      <c r="E90" s="2" t="s">
        <v>5404</v>
      </c>
      <c r="G90" s="26" t="s">
        <v>341</v>
      </c>
    </row>
    <row r="91" spans="2:7" ht="29" outlineLevel="1" x14ac:dyDescent="0.35">
      <c r="B91" s="77"/>
      <c r="C91" s="77"/>
      <c r="D91" s="2" t="s">
        <v>5398</v>
      </c>
      <c r="E91" s="2" t="s">
        <v>5405</v>
      </c>
      <c r="G91" s="26" t="s">
        <v>341</v>
      </c>
    </row>
    <row r="92" spans="2:7" ht="43.5" outlineLevel="1" x14ac:dyDescent="0.35">
      <c r="B92" s="77"/>
      <c r="C92" s="77"/>
      <c r="D92" s="2" t="s">
        <v>5399</v>
      </c>
      <c r="E92" s="2" t="s">
        <v>5406</v>
      </c>
      <c r="G92" s="26" t="s">
        <v>341</v>
      </c>
    </row>
    <row r="93" spans="2:7" ht="101.5" outlineLevel="1" x14ac:dyDescent="0.35">
      <c r="B93" s="77"/>
      <c r="C93" s="77"/>
      <c r="D93" s="2" t="s">
        <v>5400</v>
      </c>
      <c r="E93" s="2" t="s">
        <v>5407</v>
      </c>
      <c r="G93" s="26" t="s">
        <v>341</v>
      </c>
    </row>
    <row r="94" spans="2:7" x14ac:dyDescent="0.35">
      <c r="F94" s="97"/>
      <c r="G94" s="97"/>
    </row>
    <row r="95" spans="2:7" x14ac:dyDescent="0.35">
      <c r="F95" s="97"/>
      <c r="G95" s="97"/>
    </row>
    <row r="96" spans="2:7" x14ac:dyDescent="0.35">
      <c r="F96" s="97"/>
      <c r="G96" s="97"/>
    </row>
    <row r="97" spans="6:7" x14ac:dyDescent="0.35">
      <c r="F97" s="97"/>
      <c r="G97" s="97"/>
    </row>
    <row r="98" spans="6:7" x14ac:dyDescent="0.35">
      <c r="F98" s="97"/>
      <c r="G98" s="97"/>
    </row>
    <row r="99" spans="6:7" x14ac:dyDescent="0.35">
      <c r="F99" s="97"/>
      <c r="G99" s="97"/>
    </row>
    <row r="100" spans="6:7" x14ac:dyDescent="0.35">
      <c r="F100" s="97"/>
      <c r="G100" s="97"/>
    </row>
    <row r="101" spans="6:7" x14ac:dyDescent="0.35">
      <c r="F101" s="97"/>
      <c r="G101" s="97"/>
    </row>
    <row r="102" spans="6:7" x14ac:dyDescent="0.35">
      <c r="F102" s="97"/>
      <c r="G102" s="97"/>
    </row>
    <row r="103" spans="6:7" x14ac:dyDescent="0.35">
      <c r="F103" s="97"/>
      <c r="G103" s="97"/>
    </row>
    <row r="104" spans="6:7" x14ac:dyDescent="0.35">
      <c r="F104" s="97"/>
      <c r="G104" s="97"/>
    </row>
    <row r="105" spans="6:7" x14ac:dyDescent="0.35">
      <c r="F105" s="97"/>
      <c r="G105" s="97"/>
    </row>
    <row r="106" spans="6:7" x14ac:dyDescent="0.35">
      <c r="F106" s="97"/>
      <c r="G106" s="97"/>
    </row>
    <row r="107" spans="6:7" x14ac:dyDescent="0.35">
      <c r="F107" s="97"/>
      <c r="G107" s="97"/>
    </row>
    <row r="108" spans="6:7" x14ac:dyDescent="0.35">
      <c r="F108" s="97"/>
      <c r="G108" s="97"/>
    </row>
    <row r="109" spans="6:7" x14ac:dyDescent="0.35">
      <c r="F109" s="97"/>
      <c r="G109" s="97"/>
    </row>
    <row r="110" spans="6:7" x14ac:dyDescent="0.35">
      <c r="F110" s="97"/>
      <c r="G110" s="97"/>
    </row>
    <row r="111" spans="6:7" x14ac:dyDescent="0.35">
      <c r="F111" s="97"/>
      <c r="G111" s="97"/>
    </row>
    <row r="112" spans="6:7" x14ac:dyDescent="0.35">
      <c r="F112" s="97"/>
      <c r="G112" s="97"/>
    </row>
    <row r="113" spans="6:7" x14ac:dyDescent="0.35">
      <c r="F113" s="97"/>
      <c r="G113" s="97"/>
    </row>
    <row r="114" spans="6:7" x14ac:dyDescent="0.35">
      <c r="F114" s="97"/>
      <c r="G114" s="97"/>
    </row>
    <row r="115" spans="6:7" x14ac:dyDescent="0.35">
      <c r="F115" s="97"/>
      <c r="G115" s="97"/>
    </row>
    <row r="116" spans="6:7" x14ac:dyDescent="0.35">
      <c r="F116" s="97"/>
      <c r="G116" s="97"/>
    </row>
    <row r="117" spans="6:7" x14ac:dyDescent="0.35">
      <c r="F117" s="97"/>
      <c r="G117" s="97"/>
    </row>
    <row r="118" spans="6:7" x14ac:dyDescent="0.35">
      <c r="F118" s="97"/>
      <c r="G118" s="97"/>
    </row>
    <row r="119" spans="6:7" x14ac:dyDescent="0.35">
      <c r="F119" s="97"/>
      <c r="G119" s="97"/>
    </row>
    <row r="120" spans="6:7" x14ac:dyDescent="0.35">
      <c r="F120" s="97"/>
      <c r="G120" s="97"/>
    </row>
    <row r="121" spans="6:7" x14ac:dyDescent="0.35">
      <c r="F121" s="97"/>
      <c r="G121" s="97"/>
    </row>
    <row r="122" spans="6:7" x14ac:dyDescent="0.35">
      <c r="F122" s="97"/>
      <c r="G122" s="97"/>
    </row>
    <row r="123" spans="6:7" x14ac:dyDescent="0.35">
      <c r="F123" s="97"/>
      <c r="G123" s="97"/>
    </row>
    <row r="124" spans="6:7" x14ac:dyDescent="0.35">
      <c r="F124" s="97"/>
      <c r="G124" s="97"/>
    </row>
    <row r="125" spans="6:7" x14ac:dyDescent="0.35">
      <c r="F125" s="97"/>
      <c r="G125" s="97"/>
    </row>
    <row r="126" spans="6:7" x14ac:dyDescent="0.35">
      <c r="F126" s="97"/>
      <c r="G126" s="97"/>
    </row>
    <row r="127" spans="6:7" x14ac:dyDescent="0.35">
      <c r="F127" s="97"/>
      <c r="G127" s="97"/>
    </row>
    <row r="128" spans="6:7" x14ac:dyDescent="0.35">
      <c r="F128" s="97"/>
      <c r="G128" s="97"/>
    </row>
    <row r="129" spans="6:7" x14ac:dyDescent="0.35">
      <c r="F129" s="97"/>
      <c r="G129" s="97"/>
    </row>
    <row r="130" spans="6:7" x14ac:dyDescent="0.35">
      <c r="F130" s="97"/>
      <c r="G130" s="97"/>
    </row>
    <row r="131" spans="6:7" x14ac:dyDescent="0.35">
      <c r="F131" s="97"/>
      <c r="G131" s="97"/>
    </row>
    <row r="132" spans="6:7" x14ac:dyDescent="0.35">
      <c r="F132" s="97"/>
      <c r="G132" s="97"/>
    </row>
    <row r="133" spans="6:7" x14ac:dyDescent="0.35">
      <c r="F133" s="97"/>
      <c r="G133" s="97"/>
    </row>
    <row r="134" spans="6:7" x14ac:dyDescent="0.35">
      <c r="F134" s="97"/>
      <c r="G134" s="97"/>
    </row>
    <row r="135" spans="6:7" x14ac:dyDescent="0.35">
      <c r="F135" s="97"/>
      <c r="G135" s="97"/>
    </row>
    <row r="136" spans="6:7" x14ac:dyDescent="0.35">
      <c r="F136" s="97"/>
      <c r="G136" s="97"/>
    </row>
    <row r="137" spans="6:7" x14ac:dyDescent="0.35">
      <c r="F137" s="97"/>
      <c r="G137" s="97"/>
    </row>
    <row r="138" spans="6:7" x14ac:dyDescent="0.35">
      <c r="F138" s="97"/>
      <c r="G138" s="97"/>
    </row>
    <row r="139" spans="6:7" x14ac:dyDescent="0.35">
      <c r="F139" s="97"/>
      <c r="G139" s="97"/>
    </row>
    <row r="140" spans="6:7" x14ac:dyDescent="0.35">
      <c r="F140" s="97"/>
      <c r="G140" s="97"/>
    </row>
    <row r="141" spans="6:7" x14ac:dyDescent="0.35">
      <c r="F141" s="97"/>
      <c r="G141" s="97"/>
    </row>
    <row r="142" spans="6:7" x14ac:dyDescent="0.35">
      <c r="F142" s="97"/>
      <c r="G142" s="97"/>
    </row>
    <row r="143" spans="6:7" x14ac:dyDescent="0.35">
      <c r="F143" s="97"/>
      <c r="G143" s="97"/>
    </row>
    <row r="144" spans="6:7" x14ac:dyDescent="0.35">
      <c r="F144" s="97"/>
      <c r="G144" s="97"/>
    </row>
    <row r="145" spans="6:7" x14ac:dyDescent="0.35">
      <c r="F145" s="97"/>
      <c r="G145" s="97"/>
    </row>
    <row r="146" spans="6:7" x14ac:dyDescent="0.35">
      <c r="F146" s="97"/>
      <c r="G146" s="97"/>
    </row>
    <row r="147" spans="6:7" x14ac:dyDescent="0.35">
      <c r="F147" s="97"/>
      <c r="G147" s="97"/>
    </row>
    <row r="148" spans="6:7" x14ac:dyDescent="0.35">
      <c r="F148" s="97"/>
      <c r="G148" s="97"/>
    </row>
    <row r="149" spans="6:7" x14ac:dyDescent="0.35">
      <c r="F149" s="97"/>
      <c r="G149" s="97"/>
    </row>
    <row r="150" spans="6:7" x14ac:dyDescent="0.35">
      <c r="F150" s="97"/>
      <c r="G150" s="97"/>
    </row>
    <row r="151" spans="6:7" x14ac:dyDescent="0.35">
      <c r="F151" s="97"/>
      <c r="G151" s="97"/>
    </row>
    <row r="152" spans="6:7" x14ac:dyDescent="0.35">
      <c r="F152" s="97"/>
      <c r="G152" s="97"/>
    </row>
    <row r="153" spans="6:7" x14ac:dyDescent="0.35">
      <c r="F153" s="97"/>
      <c r="G153" s="97"/>
    </row>
    <row r="154" spans="6:7" x14ac:dyDescent="0.35">
      <c r="F154" s="97"/>
      <c r="G154" s="97"/>
    </row>
    <row r="155" spans="6:7" x14ac:dyDescent="0.35">
      <c r="F155" s="97"/>
      <c r="G155" s="97"/>
    </row>
    <row r="156" spans="6:7" x14ac:dyDescent="0.35">
      <c r="F156" s="97"/>
      <c r="G156" s="97"/>
    </row>
    <row r="157" spans="6:7" x14ac:dyDescent="0.35">
      <c r="F157" s="97"/>
      <c r="G157" s="97"/>
    </row>
    <row r="158" spans="6:7" x14ac:dyDescent="0.35">
      <c r="F158" s="97"/>
      <c r="G158" s="97"/>
    </row>
    <row r="159" spans="6:7" x14ac:dyDescent="0.35">
      <c r="F159" s="97"/>
      <c r="G159" s="97"/>
    </row>
    <row r="160" spans="6:7" x14ac:dyDescent="0.35">
      <c r="F160" s="97"/>
      <c r="G160" s="97"/>
    </row>
    <row r="161" spans="6:7" x14ac:dyDescent="0.35">
      <c r="F161" s="97"/>
      <c r="G161" s="97"/>
    </row>
    <row r="162" spans="6:7" x14ac:dyDescent="0.35">
      <c r="F162" s="97"/>
      <c r="G162" s="97"/>
    </row>
    <row r="163" spans="6:7" x14ac:dyDescent="0.35">
      <c r="F163" s="97"/>
      <c r="G163" s="97"/>
    </row>
    <row r="164" spans="6:7" x14ac:dyDescent="0.35">
      <c r="F164" s="97"/>
      <c r="G164" s="97"/>
    </row>
    <row r="165" spans="6:7" x14ac:dyDescent="0.35">
      <c r="F165" s="97"/>
      <c r="G165" s="97"/>
    </row>
    <row r="166" spans="6:7" x14ac:dyDescent="0.35">
      <c r="F166" s="97"/>
      <c r="G166" s="97"/>
    </row>
    <row r="167" spans="6:7" x14ac:dyDescent="0.35">
      <c r="F167" s="97"/>
      <c r="G167" s="97"/>
    </row>
    <row r="168" spans="6:7" x14ac:dyDescent="0.35">
      <c r="F168" s="97"/>
      <c r="G168" s="97"/>
    </row>
    <row r="169" spans="6:7" x14ac:dyDescent="0.35">
      <c r="F169" s="97"/>
      <c r="G169" s="97"/>
    </row>
    <row r="170" spans="6:7" x14ac:dyDescent="0.35">
      <c r="F170" s="97"/>
      <c r="G170" s="97"/>
    </row>
    <row r="171" spans="6:7" x14ac:dyDescent="0.35">
      <c r="F171" s="97"/>
      <c r="G171" s="97"/>
    </row>
    <row r="172" spans="6:7" x14ac:dyDescent="0.35">
      <c r="F172" s="97"/>
      <c r="G172" s="97"/>
    </row>
    <row r="173" spans="6:7" x14ac:dyDescent="0.35">
      <c r="F173" s="97"/>
      <c r="G173" s="97"/>
    </row>
    <row r="174" spans="6:7" x14ac:dyDescent="0.35">
      <c r="F174" s="97"/>
      <c r="G174" s="97"/>
    </row>
    <row r="175" spans="6:7" x14ac:dyDescent="0.35">
      <c r="F175" s="97"/>
      <c r="G175" s="97"/>
    </row>
    <row r="176" spans="6:7" x14ac:dyDescent="0.35">
      <c r="F176" s="97"/>
      <c r="G176" s="97"/>
    </row>
    <row r="177" spans="6:7" x14ac:dyDescent="0.35">
      <c r="F177" s="97"/>
      <c r="G177" s="97"/>
    </row>
    <row r="178" spans="6:7" x14ac:dyDescent="0.35">
      <c r="F178" s="62"/>
    </row>
    <row r="179" spans="6:7" x14ac:dyDescent="0.35">
      <c r="F179" s="62"/>
    </row>
  </sheetData>
  <sortState xmlns:xlrd2="http://schemas.microsoft.com/office/spreadsheetml/2017/richdata2" ref="A30:CK32">
    <sortCondition ref="D30"/>
  </sortState>
  <dataConsolidate/>
  <mergeCells count="3">
    <mergeCell ref="B6:E6"/>
    <mergeCell ref="G3:G4"/>
    <mergeCell ref="B2:B4"/>
  </mergeCells>
  <dataValidations count="1">
    <dataValidation type="list" allowBlank="1" showInputMessage="1" showErrorMessage="1" sqref="G87:G93 G37:G39 G20:G24 G35 G41:G44 G26:G28 G31:G33 G46:G48 G50:G51 G53:G54 G57:G69 G10:G17 G80:G84 G71:G73 G75:G78" xr:uid="{00000000-0002-0000-1000-000000000000}">
      <formula1>"Yes, No"</formula1>
    </dataValidation>
  </dataValidation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293276"/>
  </sheetPr>
  <dimension ref="A1:CK244"/>
  <sheetViews>
    <sheetView zoomScale="80" zoomScaleNormal="80" workbookViewId="0">
      <selection activeCell="C2" sqref="C2"/>
    </sheetView>
  </sheetViews>
  <sheetFormatPr defaultColWidth="9.1796875" defaultRowHeight="14.5" outlineLevelRow="1" x14ac:dyDescent="0.35"/>
  <cols>
    <col min="1" max="1" width="2.1796875" style="79" customWidth="1"/>
    <col min="2" max="2" width="30.6328125" style="96" customWidth="1"/>
    <col min="3" max="3" width="30.6328125" style="97" customWidth="1"/>
    <col min="4" max="4" width="50.6328125" style="97" customWidth="1"/>
    <col min="5" max="5" width="76.6328125" style="97" customWidth="1"/>
    <col min="6" max="6" width="2.1796875" style="79" customWidth="1"/>
    <col min="7" max="7" width="9.1796875" style="98"/>
    <col min="8" max="8" width="37" style="79" customWidth="1"/>
    <col min="9" max="16384" width="9.1796875" style="79"/>
  </cols>
  <sheetData>
    <row r="1" spans="1:89" s="58" customFormat="1" ht="18.5" customHeight="1" x14ac:dyDescent="0.35">
      <c r="B1" s="70"/>
      <c r="C1" s="69"/>
      <c r="D1" s="70"/>
      <c r="E1" s="79"/>
      <c r="F1" s="62"/>
      <c r="G1" s="79"/>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50"/>
      <c r="CA1" s="50"/>
      <c r="CB1" s="50"/>
      <c r="CC1" s="50"/>
      <c r="CD1" s="50"/>
      <c r="CE1" s="50"/>
      <c r="CF1" s="50"/>
      <c r="CG1" s="50"/>
      <c r="CH1" s="50"/>
      <c r="CI1" s="50"/>
      <c r="CJ1" s="50"/>
      <c r="CK1" s="50"/>
    </row>
    <row r="2" spans="1:89" s="58" customFormat="1" ht="14.5" customHeight="1" x14ac:dyDescent="0.35">
      <c r="A2" s="79"/>
      <c r="B2" s="193"/>
      <c r="C2" s="151"/>
      <c r="D2" s="11" t="s">
        <v>41</v>
      </c>
      <c r="E2" s="11" t="s">
        <v>2034</v>
      </c>
      <c r="F2" s="79"/>
      <c r="G2" s="13" t="s">
        <v>342</v>
      </c>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50"/>
      <c r="CE2" s="50"/>
      <c r="CF2" s="50"/>
      <c r="CG2" s="50"/>
      <c r="CH2" s="50"/>
      <c r="CI2" s="50"/>
      <c r="CJ2" s="50"/>
      <c r="CK2" s="50"/>
    </row>
    <row r="3" spans="1:89" s="58" customFormat="1" ht="14.5" customHeight="1" x14ac:dyDescent="0.35">
      <c r="A3" s="79"/>
      <c r="B3" s="193"/>
      <c r="C3" s="151"/>
      <c r="D3" s="11" t="s">
        <v>226</v>
      </c>
      <c r="E3" s="11">
        <f>COUNTIF(E8:E90,"*")</f>
        <v>74</v>
      </c>
      <c r="F3" s="79"/>
      <c r="G3" s="185">
        <f>COUNTIF(G8:G90,"Yes")</f>
        <v>74</v>
      </c>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50"/>
      <c r="BU3" s="50"/>
      <c r="BV3" s="50"/>
      <c r="BW3" s="50"/>
      <c r="BX3" s="50"/>
      <c r="BY3" s="50"/>
      <c r="BZ3" s="50"/>
      <c r="CA3" s="50"/>
      <c r="CB3" s="50"/>
      <c r="CC3" s="50"/>
      <c r="CD3" s="50"/>
      <c r="CE3" s="50"/>
      <c r="CF3" s="50"/>
      <c r="CG3" s="50"/>
      <c r="CH3" s="50"/>
      <c r="CI3" s="50"/>
      <c r="CJ3" s="50"/>
      <c r="CK3" s="50"/>
    </row>
    <row r="4" spans="1:89" s="58" customFormat="1" ht="14.5" customHeight="1" x14ac:dyDescent="0.35">
      <c r="A4" s="79"/>
      <c r="B4" s="193"/>
      <c r="C4" s="151"/>
      <c r="D4" s="15" t="s">
        <v>79</v>
      </c>
      <c r="E4" s="15" t="str">
        <f>'(12) Digital Engagement'!E4</f>
        <v>R25 Model Bank</v>
      </c>
      <c r="F4" s="79"/>
      <c r="G4" s="186"/>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c r="BO4" s="50"/>
      <c r="BP4" s="50"/>
      <c r="BQ4" s="50"/>
      <c r="BR4" s="50"/>
      <c r="BS4" s="50"/>
      <c r="BT4" s="50"/>
      <c r="BU4" s="50"/>
      <c r="BV4" s="50"/>
      <c r="BW4" s="50"/>
      <c r="BX4" s="50"/>
      <c r="BY4" s="50"/>
      <c r="BZ4" s="50"/>
      <c r="CA4" s="50"/>
      <c r="CB4" s="50"/>
      <c r="CC4" s="50"/>
      <c r="CD4" s="50"/>
      <c r="CE4" s="50"/>
      <c r="CF4" s="50"/>
      <c r="CG4" s="50"/>
      <c r="CH4" s="50"/>
      <c r="CI4" s="50"/>
      <c r="CJ4" s="50"/>
      <c r="CK4" s="50"/>
    </row>
    <row r="5" spans="1:89" s="58" customFormat="1" ht="18.5" customHeight="1" x14ac:dyDescent="0.35">
      <c r="A5" s="79"/>
      <c r="B5" s="149"/>
      <c r="C5" s="149"/>
      <c r="D5" s="72"/>
      <c r="E5" s="73"/>
      <c r="F5" s="79"/>
      <c r="G5" s="9"/>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0"/>
      <c r="BK5" s="50"/>
      <c r="BL5" s="50"/>
      <c r="BM5" s="50"/>
      <c r="BN5" s="50"/>
      <c r="BO5" s="50"/>
      <c r="BP5" s="50"/>
      <c r="BQ5" s="50"/>
      <c r="BR5" s="50"/>
      <c r="BS5" s="50"/>
      <c r="BT5" s="50"/>
      <c r="BU5" s="50"/>
      <c r="BV5" s="50"/>
      <c r="BW5" s="50"/>
      <c r="BX5" s="50"/>
      <c r="BY5" s="50"/>
      <c r="BZ5" s="50"/>
      <c r="CA5" s="50"/>
      <c r="CB5" s="50"/>
      <c r="CC5" s="50"/>
      <c r="CD5" s="50"/>
      <c r="CE5" s="50"/>
      <c r="CF5" s="50"/>
      <c r="CG5" s="50"/>
      <c r="CH5" s="50"/>
      <c r="CI5" s="50"/>
      <c r="CJ5" s="50"/>
      <c r="CK5" s="50"/>
    </row>
    <row r="6" spans="1:89" s="58" customFormat="1" x14ac:dyDescent="0.35">
      <c r="A6" s="79"/>
      <c r="B6" s="191"/>
      <c r="C6" s="192"/>
      <c r="D6" s="192"/>
      <c r="E6" s="192"/>
      <c r="F6" s="79"/>
      <c r="G6" s="18" t="s">
        <v>340</v>
      </c>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row>
    <row r="7" spans="1:89" s="58" customFormat="1" x14ac:dyDescent="0.35">
      <c r="A7" s="79"/>
      <c r="B7" s="75" t="s">
        <v>83</v>
      </c>
      <c r="C7" s="75" t="s">
        <v>86</v>
      </c>
      <c r="D7" s="75" t="s">
        <v>87</v>
      </c>
      <c r="E7" s="75" t="s">
        <v>54</v>
      </c>
      <c r="F7" s="79"/>
      <c r="G7" s="76" t="s">
        <v>342</v>
      </c>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c r="AV7" s="50"/>
      <c r="AW7" s="50"/>
      <c r="AX7" s="50"/>
      <c r="AY7" s="50"/>
      <c r="AZ7" s="50"/>
      <c r="BA7" s="50"/>
      <c r="BB7" s="50"/>
      <c r="BC7" s="50"/>
      <c r="BD7" s="50"/>
      <c r="BE7" s="50"/>
      <c r="BF7" s="50"/>
      <c r="BG7" s="50"/>
      <c r="BH7" s="50"/>
      <c r="BI7" s="50"/>
      <c r="BJ7" s="50"/>
      <c r="BK7" s="50"/>
      <c r="BL7" s="50"/>
      <c r="BM7" s="50"/>
      <c r="BN7" s="50"/>
      <c r="BO7" s="50"/>
      <c r="BP7" s="50"/>
      <c r="BQ7" s="50"/>
      <c r="BR7" s="50"/>
      <c r="BS7" s="50"/>
      <c r="BT7" s="50"/>
      <c r="BU7" s="50"/>
      <c r="BV7" s="50"/>
      <c r="BW7" s="50"/>
      <c r="BX7" s="50"/>
      <c r="BY7" s="50"/>
      <c r="BZ7" s="50"/>
      <c r="CA7" s="50"/>
      <c r="CB7" s="50"/>
      <c r="CC7" s="50"/>
      <c r="CD7" s="50"/>
      <c r="CE7" s="50"/>
      <c r="CF7" s="50"/>
      <c r="CG7" s="50"/>
      <c r="CH7" s="50"/>
      <c r="CI7" s="50"/>
      <c r="CJ7" s="50"/>
      <c r="CK7" s="50"/>
    </row>
    <row r="8" spans="1:89" ht="29" x14ac:dyDescent="0.35">
      <c r="B8" s="77" t="s">
        <v>2034</v>
      </c>
      <c r="C8" s="77"/>
      <c r="D8" s="2"/>
      <c r="E8" s="2"/>
      <c r="G8" s="78"/>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0"/>
      <c r="BR8" s="50"/>
      <c r="BS8" s="50"/>
      <c r="BT8" s="50"/>
      <c r="BU8" s="50"/>
      <c r="BV8" s="50"/>
      <c r="BW8" s="50"/>
      <c r="BX8" s="50"/>
      <c r="BY8" s="50"/>
      <c r="BZ8" s="50"/>
      <c r="CA8" s="50"/>
      <c r="CB8" s="50"/>
      <c r="CC8" s="50"/>
      <c r="CD8" s="50"/>
      <c r="CE8" s="50"/>
      <c r="CF8" s="50"/>
      <c r="CG8" s="50"/>
      <c r="CH8" s="50"/>
      <c r="CI8" s="50"/>
      <c r="CJ8" s="50"/>
      <c r="CK8" s="50"/>
    </row>
    <row r="9" spans="1:89" x14ac:dyDescent="0.35">
      <c r="B9" s="77"/>
      <c r="C9" s="77" t="s">
        <v>2035</v>
      </c>
      <c r="D9" s="2"/>
      <c r="E9" s="2"/>
      <c r="G9" s="80">
        <f>COUNTIF(G10:G18,"Yes")</f>
        <v>9</v>
      </c>
      <c r="H9" s="50"/>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0"/>
      <c r="BR9" s="50"/>
      <c r="BS9" s="50"/>
      <c r="BT9" s="50"/>
      <c r="BU9" s="50"/>
      <c r="BV9" s="50"/>
      <c r="BW9" s="50"/>
      <c r="BX9" s="50"/>
      <c r="BY9" s="50"/>
      <c r="BZ9" s="50"/>
      <c r="CA9" s="50"/>
      <c r="CB9" s="50"/>
      <c r="CC9" s="50"/>
      <c r="CD9" s="50"/>
      <c r="CE9" s="50"/>
      <c r="CF9" s="50"/>
      <c r="CG9" s="50"/>
      <c r="CH9" s="50"/>
      <c r="CI9" s="50"/>
      <c r="CJ9" s="50"/>
      <c r="CK9" s="50"/>
    </row>
    <row r="10" spans="1:89" ht="43.5" outlineLevel="1" x14ac:dyDescent="0.35">
      <c r="B10" s="77"/>
      <c r="C10" s="77"/>
      <c r="D10" s="2" t="s">
        <v>2560</v>
      </c>
      <c r="E10" s="2" t="s">
        <v>2562</v>
      </c>
      <c r="G10" s="82" t="s">
        <v>341</v>
      </c>
      <c r="H10" s="50"/>
      <c r="I10" s="50"/>
      <c r="J10" s="50"/>
      <c r="K10" s="50"/>
      <c r="L10" s="50"/>
      <c r="M10" s="50"/>
      <c r="N10" s="50"/>
      <c r="O10" s="50"/>
      <c r="P10" s="50"/>
      <c r="Q10" s="50"/>
      <c r="R10" s="50"/>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0"/>
      <c r="BR10" s="50"/>
      <c r="BS10" s="50"/>
      <c r="BT10" s="50"/>
      <c r="BU10" s="50"/>
      <c r="BV10" s="50"/>
      <c r="BW10" s="50"/>
      <c r="BX10" s="50"/>
      <c r="BY10" s="50"/>
      <c r="BZ10" s="50"/>
      <c r="CA10" s="50"/>
      <c r="CB10" s="50"/>
      <c r="CC10" s="50"/>
      <c r="CD10" s="50"/>
      <c r="CE10" s="50"/>
      <c r="CF10" s="50"/>
      <c r="CG10" s="50"/>
      <c r="CH10" s="50"/>
      <c r="CI10" s="50"/>
      <c r="CJ10" s="50"/>
      <c r="CK10" s="50"/>
    </row>
    <row r="11" spans="1:89" ht="29" outlineLevel="1" x14ac:dyDescent="0.35">
      <c r="B11" s="77"/>
      <c r="C11" s="77"/>
      <c r="D11" s="2" t="s">
        <v>3350</v>
      </c>
      <c r="E11" s="2" t="s">
        <v>3351</v>
      </c>
      <c r="G11" s="82" t="s">
        <v>341</v>
      </c>
      <c r="H11" s="50"/>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0"/>
      <c r="BR11" s="50"/>
      <c r="BS11" s="50"/>
      <c r="BT11" s="50"/>
      <c r="BU11" s="50"/>
      <c r="BV11" s="50"/>
      <c r="BW11" s="50"/>
      <c r="BX11" s="50"/>
      <c r="BY11" s="50"/>
      <c r="BZ11" s="50"/>
      <c r="CA11" s="50"/>
      <c r="CB11" s="50"/>
      <c r="CC11" s="50"/>
      <c r="CD11" s="50"/>
      <c r="CE11" s="50"/>
      <c r="CF11" s="50"/>
      <c r="CG11" s="50"/>
      <c r="CH11" s="50"/>
      <c r="CI11" s="50"/>
      <c r="CJ11" s="50"/>
      <c r="CK11" s="50"/>
    </row>
    <row r="12" spans="1:89" ht="43.5" outlineLevel="1" x14ac:dyDescent="0.35">
      <c r="B12" s="77"/>
      <c r="C12" s="77"/>
      <c r="D12" s="2" t="s">
        <v>2710</v>
      </c>
      <c r="E12" s="2" t="s">
        <v>2712</v>
      </c>
      <c r="G12" s="82" t="s">
        <v>341</v>
      </c>
      <c r="H12" s="50"/>
      <c r="I12" s="50"/>
      <c r="J12" s="50"/>
      <c r="K12" s="50"/>
      <c r="L12" s="50"/>
      <c r="M12" s="50"/>
      <c r="N12" s="50"/>
      <c r="O12" s="50"/>
      <c r="P12" s="50"/>
      <c r="Q12" s="50"/>
      <c r="R12" s="50"/>
      <c r="S12" s="50"/>
      <c r="T12" s="50"/>
      <c r="U12" s="50"/>
      <c r="V12" s="50"/>
      <c r="W12" s="50"/>
      <c r="X12" s="50"/>
      <c r="Y12" s="50"/>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0"/>
      <c r="BR12" s="50"/>
      <c r="BS12" s="50"/>
      <c r="BT12" s="50"/>
      <c r="BU12" s="50"/>
      <c r="BV12" s="50"/>
      <c r="BW12" s="50"/>
      <c r="BX12" s="50"/>
      <c r="BY12" s="50"/>
      <c r="BZ12" s="50"/>
      <c r="CA12" s="50"/>
      <c r="CB12" s="50"/>
      <c r="CC12" s="50"/>
      <c r="CD12" s="50"/>
      <c r="CE12" s="50"/>
      <c r="CF12" s="50"/>
      <c r="CG12" s="50"/>
      <c r="CH12" s="50"/>
      <c r="CI12" s="50"/>
      <c r="CJ12" s="50"/>
      <c r="CK12" s="50"/>
    </row>
    <row r="13" spans="1:89" ht="43.5" outlineLevel="1" x14ac:dyDescent="0.35">
      <c r="B13" s="77"/>
      <c r="C13" s="77"/>
      <c r="D13" s="2" t="s">
        <v>3133</v>
      </c>
      <c r="E13" s="2" t="s">
        <v>3134</v>
      </c>
      <c r="G13" s="82" t="s">
        <v>341</v>
      </c>
      <c r="H13" s="50"/>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0"/>
      <c r="BR13" s="50"/>
      <c r="BS13" s="50"/>
      <c r="BT13" s="50"/>
      <c r="BU13" s="50"/>
      <c r="BV13" s="50"/>
      <c r="BW13" s="50"/>
      <c r="BX13" s="50"/>
      <c r="BY13" s="50"/>
      <c r="BZ13" s="50"/>
      <c r="CA13" s="50"/>
      <c r="CB13" s="50"/>
      <c r="CC13" s="50"/>
      <c r="CD13" s="50"/>
      <c r="CE13" s="50"/>
      <c r="CF13" s="50"/>
      <c r="CG13" s="50"/>
      <c r="CH13" s="50"/>
      <c r="CI13" s="50"/>
      <c r="CJ13" s="50"/>
      <c r="CK13" s="50"/>
    </row>
    <row r="14" spans="1:89" ht="72.5" outlineLevel="1" x14ac:dyDescent="0.35">
      <c r="B14" s="77"/>
      <c r="C14" s="77"/>
      <c r="D14" s="2" t="s">
        <v>2709</v>
      </c>
      <c r="E14" s="2" t="s">
        <v>2711</v>
      </c>
      <c r="G14" s="82" t="s">
        <v>341</v>
      </c>
      <c r="H14" s="50"/>
      <c r="I14" s="50"/>
      <c r="J14" s="50"/>
      <c r="K14" s="50"/>
      <c r="L14" s="50"/>
      <c r="M14" s="50"/>
      <c r="N14" s="50"/>
      <c r="O14" s="50"/>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0"/>
      <c r="BR14" s="50"/>
      <c r="BS14" s="50"/>
      <c r="BT14" s="50"/>
      <c r="BU14" s="50"/>
      <c r="BV14" s="50"/>
      <c r="BW14" s="50"/>
      <c r="BX14" s="50"/>
      <c r="BY14" s="50"/>
      <c r="BZ14" s="50"/>
      <c r="CA14" s="50"/>
      <c r="CB14" s="50"/>
      <c r="CC14" s="50"/>
      <c r="CD14" s="50"/>
      <c r="CE14" s="50"/>
      <c r="CF14" s="50"/>
      <c r="CG14" s="50"/>
      <c r="CH14" s="50"/>
      <c r="CI14" s="50"/>
      <c r="CJ14" s="50"/>
      <c r="CK14" s="50"/>
    </row>
    <row r="15" spans="1:89" ht="43.5" outlineLevel="1" x14ac:dyDescent="0.35">
      <c r="B15" s="77"/>
      <c r="C15" s="77"/>
      <c r="D15" s="2" t="s">
        <v>3181</v>
      </c>
      <c r="E15" s="2" t="s">
        <v>3909</v>
      </c>
      <c r="G15" s="82" t="s">
        <v>341</v>
      </c>
      <c r="H15" s="50"/>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0"/>
      <c r="BR15" s="50"/>
      <c r="BS15" s="50"/>
      <c r="BT15" s="50"/>
      <c r="BU15" s="50"/>
      <c r="BV15" s="50"/>
      <c r="BW15" s="50"/>
      <c r="BX15" s="50"/>
      <c r="BY15" s="50"/>
      <c r="BZ15" s="50"/>
      <c r="CA15" s="50"/>
      <c r="CB15" s="50"/>
      <c r="CC15" s="50"/>
      <c r="CD15" s="50"/>
      <c r="CE15" s="50"/>
      <c r="CF15" s="50"/>
      <c r="CG15" s="50"/>
      <c r="CH15" s="50"/>
      <c r="CI15" s="50"/>
      <c r="CJ15" s="50"/>
      <c r="CK15" s="50"/>
    </row>
    <row r="16" spans="1:89" ht="58" outlineLevel="1" x14ac:dyDescent="0.35">
      <c r="B16" s="77"/>
      <c r="C16" s="77"/>
      <c r="D16" s="2" t="s">
        <v>2036</v>
      </c>
      <c r="E16" s="2" t="s">
        <v>2044</v>
      </c>
      <c r="G16" s="82" t="s">
        <v>341</v>
      </c>
      <c r="H16" s="50"/>
      <c r="I16" s="50"/>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0"/>
      <c r="BR16" s="50"/>
      <c r="BS16" s="50"/>
      <c r="BT16" s="50"/>
      <c r="BU16" s="50"/>
      <c r="BV16" s="50"/>
      <c r="BW16" s="50"/>
      <c r="BX16" s="50"/>
      <c r="BY16" s="50"/>
      <c r="BZ16" s="50"/>
      <c r="CA16" s="50"/>
      <c r="CB16" s="50"/>
      <c r="CC16" s="50"/>
      <c r="CD16" s="50"/>
      <c r="CE16" s="50"/>
      <c r="CF16" s="50"/>
      <c r="CG16" s="50"/>
      <c r="CH16" s="50"/>
      <c r="CI16" s="50"/>
      <c r="CJ16" s="50"/>
      <c r="CK16" s="50"/>
    </row>
    <row r="17" spans="2:89" ht="43.5" outlineLevel="1" x14ac:dyDescent="0.35">
      <c r="B17" s="77"/>
      <c r="C17" s="77"/>
      <c r="D17" s="2" t="s">
        <v>3352</v>
      </c>
      <c r="E17" s="2" t="s">
        <v>3353</v>
      </c>
      <c r="G17" s="82" t="s">
        <v>341</v>
      </c>
      <c r="H17" s="50"/>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0"/>
      <c r="BR17" s="50"/>
      <c r="BS17" s="50"/>
      <c r="BT17" s="50"/>
      <c r="BU17" s="50"/>
      <c r="BV17" s="50"/>
      <c r="BW17" s="50"/>
      <c r="BX17" s="50"/>
      <c r="BY17" s="50"/>
      <c r="BZ17" s="50"/>
      <c r="CA17" s="50"/>
      <c r="CB17" s="50"/>
      <c r="CC17" s="50"/>
      <c r="CD17" s="50"/>
      <c r="CE17" s="50"/>
      <c r="CF17" s="50"/>
      <c r="CG17" s="50"/>
      <c r="CH17" s="50"/>
      <c r="CI17" s="50"/>
      <c r="CJ17" s="50"/>
      <c r="CK17" s="50"/>
    </row>
    <row r="18" spans="2:89" ht="87" outlineLevel="1" x14ac:dyDescent="0.35">
      <c r="B18" s="77"/>
      <c r="C18" s="77"/>
      <c r="D18" s="2" t="s">
        <v>2037</v>
      </c>
      <c r="E18" s="2" t="s">
        <v>2043</v>
      </c>
      <c r="G18" s="82" t="s">
        <v>341</v>
      </c>
      <c r="H18" s="74"/>
    </row>
    <row r="19" spans="2:89" x14ac:dyDescent="0.35">
      <c r="B19" s="77"/>
      <c r="C19" s="77" t="s">
        <v>2345</v>
      </c>
      <c r="D19" s="2"/>
      <c r="E19" s="2"/>
      <c r="G19" s="80">
        <f>COUNTIF(G20:G40,"Yes")</f>
        <v>21</v>
      </c>
      <c r="H19" s="136"/>
    </row>
    <row r="20" spans="2:89" ht="43.5" outlineLevel="1" x14ac:dyDescent="0.35">
      <c r="B20" s="77"/>
      <c r="C20" s="77"/>
      <c r="D20" s="2" t="s">
        <v>2409</v>
      </c>
      <c r="E20" s="2" t="s">
        <v>2413</v>
      </c>
      <c r="G20" s="82" t="s">
        <v>341</v>
      </c>
      <c r="H20" s="136"/>
    </row>
    <row r="21" spans="2:89" ht="58" outlineLevel="1" x14ac:dyDescent="0.35">
      <c r="B21" s="77"/>
      <c r="C21" s="77"/>
      <c r="D21" s="2" t="s">
        <v>2495</v>
      </c>
      <c r="E21" s="2" t="s">
        <v>2496</v>
      </c>
      <c r="G21" s="82" t="s">
        <v>341</v>
      </c>
      <c r="H21" s="136"/>
    </row>
    <row r="22" spans="2:89" ht="58" outlineLevel="1" x14ac:dyDescent="0.35">
      <c r="B22" s="77"/>
      <c r="C22" s="77"/>
      <c r="D22" s="2" t="s">
        <v>2408</v>
      </c>
      <c r="E22" s="2" t="s">
        <v>2414</v>
      </c>
      <c r="G22" s="82" t="s">
        <v>341</v>
      </c>
      <c r="H22" s="136"/>
    </row>
    <row r="23" spans="2:89" ht="29" outlineLevel="1" x14ac:dyDescent="0.35">
      <c r="B23" s="77"/>
      <c r="C23" s="77"/>
      <c r="D23" s="2" t="s">
        <v>2410</v>
      </c>
      <c r="E23" s="2" t="s">
        <v>2415</v>
      </c>
      <c r="G23" s="82" t="s">
        <v>341</v>
      </c>
      <c r="H23" s="136"/>
    </row>
    <row r="24" spans="2:89" ht="43.5" outlineLevel="1" x14ac:dyDescent="0.35">
      <c r="B24" s="77"/>
      <c r="C24" s="77"/>
      <c r="D24" s="2" t="s">
        <v>2714</v>
      </c>
      <c r="E24" s="2" t="s">
        <v>2715</v>
      </c>
      <c r="G24" s="82" t="s">
        <v>341</v>
      </c>
      <c r="H24" s="136"/>
    </row>
    <row r="25" spans="2:89" ht="72.5" outlineLevel="1" x14ac:dyDescent="0.35">
      <c r="B25" s="77"/>
      <c r="C25" s="77"/>
      <c r="D25" s="2" t="s">
        <v>2346</v>
      </c>
      <c r="E25" s="2" t="s">
        <v>2347</v>
      </c>
      <c r="G25" s="82" t="s">
        <v>341</v>
      </c>
      <c r="H25" s="136"/>
    </row>
    <row r="26" spans="2:89" ht="29" outlineLevel="1" x14ac:dyDescent="0.35">
      <c r="B26" s="77"/>
      <c r="C26" s="77"/>
      <c r="D26" s="2" t="s">
        <v>4407</v>
      </c>
      <c r="E26" s="2" t="s">
        <v>4439</v>
      </c>
      <c r="G26" s="82" t="s">
        <v>341</v>
      </c>
      <c r="H26" s="136"/>
    </row>
    <row r="27" spans="2:89" ht="72.5" outlineLevel="1" x14ac:dyDescent="0.35">
      <c r="B27" s="77"/>
      <c r="C27" s="77"/>
      <c r="D27" s="2" t="s">
        <v>2491</v>
      </c>
      <c r="E27" s="2" t="s">
        <v>2492</v>
      </c>
      <c r="G27" s="82" t="s">
        <v>341</v>
      </c>
      <c r="H27" s="136"/>
    </row>
    <row r="28" spans="2:89" ht="29" outlineLevel="1" x14ac:dyDescent="0.35">
      <c r="B28" s="77"/>
      <c r="C28" s="77"/>
      <c r="D28" s="2" t="s">
        <v>3100</v>
      </c>
      <c r="E28" s="2" t="s">
        <v>3101</v>
      </c>
      <c r="G28" s="82" t="s">
        <v>341</v>
      </c>
      <c r="H28" s="136"/>
    </row>
    <row r="29" spans="2:89" ht="116" outlineLevel="1" x14ac:dyDescent="0.35">
      <c r="B29" s="77"/>
      <c r="C29" s="77"/>
      <c r="D29" s="2" t="s">
        <v>3354</v>
      </c>
      <c r="E29" s="2" t="s">
        <v>3355</v>
      </c>
      <c r="G29" s="82" t="s">
        <v>341</v>
      </c>
      <c r="H29" s="136"/>
    </row>
    <row r="30" spans="2:89" ht="58" outlineLevel="1" x14ac:dyDescent="0.35">
      <c r="B30" s="77"/>
      <c r="C30" s="77"/>
      <c r="D30" s="2" t="s">
        <v>2713</v>
      </c>
      <c r="E30" s="2" t="s">
        <v>3927</v>
      </c>
      <c r="G30" s="82" t="s">
        <v>341</v>
      </c>
      <c r="H30" s="136"/>
    </row>
    <row r="31" spans="2:89" ht="43.5" outlineLevel="1" x14ac:dyDescent="0.35">
      <c r="B31" s="77"/>
      <c r="C31" s="77"/>
      <c r="D31" s="2" t="s">
        <v>2411</v>
      </c>
      <c r="E31" s="2" t="s">
        <v>2416</v>
      </c>
      <c r="G31" s="82" t="s">
        <v>341</v>
      </c>
      <c r="H31" s="136"/>
    </row>
    <row r="32" spans="2:89" ht="72.5" outlineLevel="1" x14ac:dyDescent="0.35">
      <c r="B32" s="77"/>
      <c r="C32" s="77"/>
      <c r="D32" s="2" t="s">
        <v>2665</v>
      </c>
      <c r="E32" s="2" t="s">
        <v>2666</v>
      </c>
      <c r="G32" s="82" t="s">
        <v>341</v>
      </c>
      <c r="H32" s="136"/>
    </row>
    <row r="33" spans="2:8" ht="43.5" outlineLevel="1" x14ac:dyDescent="0.35">
      <c r="B33" s="77"/>
      <c r="C33" s="77"/>
      <c r="D33" s="2" t="s">
        <v>2412</v>
      </c>
      <c r="E33" s="2" t="s">
        <v>2417</v>
      </c>
      <c r="G33" s="82" t="s">
        <v>341</v>
      </c>
      <c r="H33" s="136"/>
    </row>
    <row r="34" spans="2:8" ht="29" outlineLevel="1" x14ac:dyDescent="0.35">
      <c r="B34" s="77"/>
      <c r="C34" s="77"/>
      <c r="D34" s="2" t="s">
        <v>4400</v>
      </c>
      <c r="E34" s="2" t="s">
        <v>4926</v>
      </c>
      <c r="G34" s="82" t="s">
        <v>341</v>
      </c>
      <c r="H34" s="136"/>
    </row>
    <row r="35" spans="2:8" ht="29" outlineLevel="1" x14ac:dyDescent="0.35">
      <c r="B35" s="77"/>
      <c r="C35" s="77"/>
      <c r="D35" s="166" t="s">
        <v>4398</v>
      </c>
      <c r="E35" s="2" t="s">
        <v>4399</v>
      </c>
      <c r="G35" s="82" t="s">
        <v>341</v>
      </c>
      <c r="H35" s="136"/>
    </row>
    <row r="36" spans="2:8" ht="72.5" outlineLevel="1" x14ac:dyDescent="0.35">
      <c r="B36" s="77"/>
      <c r="C36" s="77"/>
      <c r="D36" s="2" t="s">
        <v>2493</v>
      </c>
      <c r="E36" s="2" t="s">
        <v>2494</v>
      </c>
      <c r="G36" s="82" t="s">
        <v>341</v>
      </c>
      <c r="H36" s="136"/>
    </row>
    <row r="37" spans="2:8" ht="58" outlineLevel="1" x14ac:dyDescent="0.35">
      <c r="B37" s="77"/>
      <c r="C37" s="77"/>
      <c r="D37" s="2" t="s">
        <v>2348</v>
      </c>
      <c r="E37" s="2" t="s">
        <v>2349</v>
      </c>
      <c r="G37" s="82" t="s">
        <v>341</v>
      </c>
      <c r="H37" s="136"/>
    </row>
    <row r="38" spans="2:8" ht="43.5" outlineLevel="1" x14ac:dyDescent="0.35">
      <c r="B38" s="77"/>
      <c r="C38" s="77"/>
      <c r="D38" s="2" t="s">
        <v>3370</v>
      </c>
      <c r="E38" s="2" t="s">
        <v>3372</v>
      </c>
      <c r="G38" s="82" t="s">
        <v>341</v>
      </c>
      <c r="H38" s="136"/>
    </row>
    <row r="39" spans="2:8" ht="43.5" outlineLevel="1" x14ac:dyDescent="0.35">
      <c r="B39" s="77"/>
      <c r="C39" s="77"/>
      <c r="D39" s="166" t="s">
        <v>4086</v>
      </c>
      <c r="E39" s="2" t="s">
        <v>4087</v>
      </c>
      <c r="G39" s="82" t="s">
        <v>341</v>
      </c>
      <c r="H39" s="136"/>
    </row>
    <row r="40" spans="2:8" ht="58" outlineLevel="1" x14ac:dyDescent="0.35">
      <c r="B40" s="77"/>
      <c r="C40" s="77"/>
      <c r="D40" s="2" t="s">
        <v>3371</v>
      </c>
      <c r="E40" s="2" t="s">
        <v>3373</v>
      </c>
      <c r="G40" s="82" t="s">
        <v>341</v>
      </c>
      <c r="H40" s="136"/>
    </row>
    <row r="41" spans="2:8" ht="29" x14ac:dyDescent="0.35">
      <c r="B41" s="77"/>
      <c r="C41" s="77" t="s">
        <v>2350</v>
      </c>
      <c r="D41" s="2"/>
      <c r="E41" s="2"/>
      <c r="G41" s="80">
        <f>COUNTIF(G42:G47,"Yes")</f>
        <v>6</v>
      </c>
      <c r="H41" s="136"/>
    </row>
    <row r="42" spans="2:8" ht="87" outlineLevel="1" x14ac:dyDescent="0.35">
      <c r="B42" s="77"/>
      <c r="C42" s="77"/>
      <c r="D42" s="2" t="s">
        <v>2351</v>
      </c>
      <c r="E42" s="2" t="s">
        <v>3906</v>
      </c>
      <c r="G42" s="82" t="s">
        <v>341</v>
      </c>
      <c r="H42" s="136"/>
    </row>
    <row r="43" spans="2:8" ht="58" outlineLevel="1" x14ac:dyDescent="0.35">
      <c r="B43" s="77"/>
      <c r="C43" s="77"/>
      <c r="D43" s="2" t="s">
        <v>2716</v>
      </c>
      <c r="E43" s="2" t="s">
        <v>3905</v>
      </c>
      <c r="G43" s="82" t="s">
        <v>341</v>
      </c>
      <c r="H43" s="136"/>
    </row>
    <row r="44" spans="2:8" ht="58" outlineLevel="1" x14ac:dyDescent="0.35">
      <c r="B44" s="77"/>
      <c r="C44" s="77"/>
      <c r="D44" s="2" t="s">
        <v>2717</v>
      </c>
      <c r="E44" s="2" t="s">
        <v>2718</v>
      </c>
      <c r="G44" s="82" t="s">
        <v>341</v>
      </c>
      <c r="H44" s="136"/>
    </row>
    <row r="45" spans="2:8" ht="58" outlineLevel="1" x14ac:dyDescent="0.35">
      <c r="B45" s="77"/>
      <c r="C45" s="77"/>
      <c r="D45" s="2" t="s">
        <v>3356</v>
      </c>
      <c r="E45" s="2" t="s">
        <v>3357</v>
      </c>
      <c r="G45" s="82" t="s">
        <v>341</v>
      </c>
      <c r="H45" s="136"/>
    </row>
    <row r="46" spans="2:8" ht="72.5" outlineLevel="1" x14ac:dyDescent="0.35">
      <c r="B46" s="77"/>
      <c r="C46" s="77"/>
      <c r="D46" s="2" t="s">
        <v>2667</v>
      </c>
      <c r="E46" s="2" t="s">
        <v>2668</v>
      </c>
      <c r="G46" s="82" t="s">
        <v>341</v>
      </c>
      <c r="H46" s="136"/>
    </row>
    <row r="47" spans="2:8" ht="43.5" outlineLevel="1" x14ac:dyDescent="0.35">
      <c r="B47" s="77"/>
      <c r="C47" s="77"/>
      <c r="D47" s="2" t="s">
        <v>2418</v>
      </c>
      <c r="E47" s="2" t="s">
        <v>3928</v>
      </c>
      <c r="G47" s="82" t="s">
        <v>341</v>
      </c>
      <c r="H47" s="136"/>
    </row>
    <row r="48" spans="2:8" x14ac:dyDescent="0.35">
      <c r="B48" s="77"/>
      <c r="C48" s="77" t="s">
        <v>2352</v>
      </c>
      <c r="D48" s="2"/>
      <c r="E48" s="2"/>
      <c r="G48" s="80">
        <f>COUNTIF(G49:G54,"Yes")</f>
        <v>6</v>
      </c>
      <c r="H48" s="136"/>
    </row>
    <row r="49" spans="2:8" ht="87" outlineLevel="1" x14ac:dyDescent="0.35">
      <c r="B49" s="77"/>
      <c r="C49" s="77"/>
      <c r="D49" s="2" t="s">
        <v>2353</v>
      </c>
      <c r="E49" s="2" t="s">
        <v>4922</v>
      </c>
      <c r="G49" s="82" t="s">
        <v>341</v>
      </c>
      <c r="H49" s="136"/>
    </row>
    <row r="50" spans="2:8" ht="72.5" outlineLevel="1" x14ac:dyDescent="0.35">
      <c r="B50" s="77"/>
      <c r="C50" s="77"/>
      <c r="D50" s="2" t="s">
        <v>2497</v>
      </c>
      <c r="E50" s="2" t="s">
        <v>2498</v>
      </c>
      <c r="G50" s="82" t="s">
        <v>341</v>
      </c>
      <c r="H50" s="136"/>
    </row>
    <row r="51" spans="2:8" ht="58" outlineLevel="1" x14ac:dyDescent="0.35">
      <c r="B51" s="77"/>
      <c r="C51" s="77"/>
      <c r="D51" s="2" t="s">
        <v>2419</v>
      </c>
      <c r="E51" s="2" t="s">
        <v>2457</v>
      </c>
      <c r="G51" s="82" t="s">
        <v>341</v>
      </c>
      <c r="H51" s="136"/>
    </row>
    <row r="52" spans="2:8" ht="43.5" outlineLevel="1" x14ac:dyDescent="0.35">
      <c r="B52" s="77"/>
      <c r="C52" s="77"/>
      <c r="D52" s="2" t="s">
        <v>2719</v>
      </c>
      <c r="E52" s="2" t="s">
        <v>2721</v>
      </c>
      <c r="G52" s="82" t="s">
        <v>341</v>
      </c>
      <c r="H52" s="136"/>
    </row>
    <row r="53" spans="2:8" ht="29" outlineLevel="1" x14ac:dyDescent="0.35">
      <c r="B53" s="77"/>
      <c r="C53" s="77"/>
      <c r="D53" s="2" t="s">
        <v>3241</v>
      </c>
      <c r="E53" s="2" t="s">
        <v>3242</v>
      </c>
      <c r="G53" s="82" t="s">
        <v>341</v>
      </c>
      <c r="H53" s="136"/>
    </row>
    <row r="54" spans="2:8" ht="43.5" outlineLevel="1" x14ac:dyDescent="0.35">
      <c r="B54" s="77"/>
      <c r="C54" s="77"/>
      <c r="D54" s="2" t="s">
        <v>2720</v>
      </c>
      <c r="E54" s="2" t="s">
        <v>2722</v>
      </c>
      <c r="G54" s="82" t="s">
        <v>341</v>
      </c>
      <c r="H54" s="136"/>
    </row>
    <row r="55" spans="2:8" ht="29" x14ac:dyDescent="0.35">
      <c r="B55" s="77"/>
      <c r="C55" s="77" t="s">
        <v>2344</v>
      </c>
      <c r="D55" s="2"/>
      <c r="E55" s="2"/>
      <c r="G55" s="80">
        <f>COUNTIF(G56:G61,"Yes")</f>
        <v>6</v>
      </c>
    </row>
    <row r="56" spans="2:8" ht="58" outlineLevel="1" x14ac:dyDescent="0.35">
      <c r="B56" s="77"/>
      <c r="C56" s="77"/>
      <c r="D56" s="2" t="s">
        <v>2074</v>
      </c>
      <c r="E56" s="2" t="s">
        <v>2077</v>
      </c>
      <c r="F56" s="97"/>
      <c r="G56" s="82" t="s">
        <v>341</v>
      </c>
    </row>
    <row r="57" spans="2:8" ht="43.5" outlineLevel="1" x14ac:dyDescent="0.35">
      <c r="B57" s="77"/>
      <c r="C57" s="77"/>
      <c r="D57" s="2" t="s">
        <v>2723</v>
      </c>
      <c r="E57" s="2" t="s">
        <v>2725</v>
      </c>
      <c r="F57" s="97"/>
      <c r="G57" s="82" t="s">
        <v>341</v>
      </c>
    </row>
    <row r="58" spans="2:8" ht="58" outlineLevel="1" x14ac:dyDescent="0.35">
      <c r="B58" s="77"/>
      <c r="C58" s="77"/>
      <c r="D58" s="2" t="s">
        <v>2724</v>
      </c>
      <c r="E58" s="2" t="s">
        <v>2726</v>
      </c>
      <c r="F58" s="97"/>
      <c r="G58" s="82" t="s">
        <v>341</v>
      </c>
    </row>
    <row r="59" spans="2:8" ht="72.5" outlineLevel="1" x14ac:dyDescent="0.35">
      <c r="B59" s="77"/>
      <c r="C59" s="77"/>
      <c r="D59" s="2" t="s">
        <v>2075</v>
      </c>
      <c r="E59" s="2" t="s">
        <v>2078</v>
      </c>
      <c r="F59" s="97"/>
      <c r="G59" s="82" t="s">
        <v>341</v>
      </c>
    </row>
    <row r="60" spans="2:8" ht="29" outlineLevel="1" x14ac:dyDescent="0.35">
      <c r="B60" s="77"/>
      <c r="C60" s="77"/>
      <c r="D60" s="2" t="s">
        <v>2499</v>
      </c>
      <c r="E60" s="2" t="s">
        <v>2500</v>
      </c>
      <c r="F60" s="97"/>
      <c r="G60" s="82" t="s">
        <v>341</v>
      </c>
    </row>
    <row r="61" spans="2:8" ht="43.5" outlineLevel="1" x14ac:dyDescent="0.35">
      <c r="B61" s="77"/>
      <c r="C61" s="77"/>
      <c r="D61" s="2" t="s">
        <v>2076</v>
      </c>
      <c r="E61" s="2" t="s">
        <v>2079</v>
      </c>
      <c r="F61" s="97"/>
      <c r="G61" s="82" t="s">
        <v>341</v>
      </c>
    </row>
    <row r="62" spans="2:8" ht="29" x14ac:dyDescent="0.35">
      <c r="B62" s="77"/>
      <c r="C62" s="77" t="s">
        <v>2343</v>
      </c>
      <c r="D62" s="2"/>
      <c r="E62" s="2"/>
      <c r="F62" s="97"/>
      <c r="G62" s="80">
        <f>COUNTIF(G63:G84,"Yes")</f>
        <v>22</v>
      </c>
    </row>
    <row r="63" spans="2:8" ht="43.5" outlineLevel="1" x14ac:dyDescent="0.35">
      <c r="B63" s="77"/>
      <c r="C63" s="77"/>
      <c r="D63" s="2" t="s">
        <v>3307</v>
      </c>
      <c r="E63" s="2" t="s">
        <v>4944</v>
      </c>
      <c r="F63" s="97"/>
      <c r="G63" s="82" t="s">
        <v>341</v>
      </c>
    </row>
    <row r="64" spans="2:8" ht="29" outlineLevel="1" x14ac:dyDescent="0.35">
      <c r="B64" s="77"/>
      <c r="C64" s="77"/>
      <c r="D64" s="2" t="s">
        <v>2564</v>
      </c>
      <c r="E64" s="2" t="s">
        <v>2566</v>
      </c>
      <c r="F64" s="97"/>
      <c r="G64" s="82" t="s">
        <v>341</v>
      </c>
    </row>
    <row r="65" spans="2:7" ht="58" outlineLevel="1" x14ac:dyDescent="0.35">
      <c r="B65" s="77"/>
      <c r="C65" s="77"/>
      <c r="D65" s="2" t="s">
        <v>3667</v>
      </c>
      <c r="E65" s="2" t="s">
        <v>3308</v>
      </c>
      <c r="F65" s="97"/>
      <c r="G65" s="82" t="s">
        <v>341</v>
      </c>
    </row>
    <row r="66" spans="2:7" ht="58" outlineLevel="1" x14ac:dyDescent="0.35">
      <c r="B66" s="77"/>
      <c r="C66" s="77"/>
      <c r="D66" s="2" t="s">
        <v>2420</v>
      </c>
      <c r="E66" s="2" t="s">
        <v>2421</v>
      </c>
      <c r="F66" s="97"/>
      <c r="G66" s="82" t="s">
        <v>341</v>
      </c>
    </row>
    <row r="67" spans="2:7" ht="43.5" outlineLevel="1" x14ac:dyDescent="0.35">
      <c r="B67" s="77"/>
      <c r="C67" s="77"/>
      <c r="D67" s="2" t="s">
        <v>2140</v>
      </c>
      <c r="E67" s="2" t="s">
        <v>3913</v>
      </c>
      <c r="F67" s="97"/>
      <c r="G67" s="82" t="s">
        <v>341</v>
      </c>
    </row>
    <row r="68" spans="2:7" ht="43.5" outlineLevel="1" x14ac:dyDescent="0.35">
      <c r="B68" s="77"/>
      <c r="C68" s="77"/>
      <c r="D68" s="2" t="s">
        <v>2141</v>
      </c>
      <c r="E68" s="2" t="s">
        <v>2143</v>
      </c>
      <c r="F68" s="97"/>
      <c r="G68" s="82" t="s">
        <v>341</v>
      </c>
    </row>
    <row r="69" spans="2:7" ht="43.5" outlineLevel="1" x14ac:dyDescent="0.35">
      <c r="B69" s="77"/>
      <c r="C69" s="77"/>
      <c r="D69" s="2" t="s">
        <v>2264</v>
      </c>
      <c r="E69" s="2" t="s">
        <v>3004</v>
      </c>
      <c r="F69" s="97"/>
      <c r="G69" s="82" t="s">
        <v>341</v>
      </c>
    </row>
    <row r="70" spans="2:7" ht="29" outlineLevel="1" x14ac:dyDescent="0.35">
      <c r="B70" s="77"/>
      <c r="C70" s="77"/>
      <c r="D70" s="2" t="s">
        <v>2354</v>
      </c>
      <c r="E70" s="2" t="s">
        <v>2355</v>
      </c>
      <c r="F70" s="97"/>
      <c r="G70" s="82" t="s">
        <v>341</v>
      </c>
    </row>
    <row r="71" spans="2:7" ht="72.5" outlineLevel="1" x14ac:dyDescent="0.35">
      <c r="B71" s="77"/>
      <c r="C71" s="77"/>
      <c r="D71" s="2" t="s">
        <v>3358</v>
      </c>
      <c r="E71" s="2" t="s">
        <v>3359</v>
      </c>
      <c r="F71" s="97"/>
      <c r="G71" s="82" t="s">
        <v>341</v>
      </c>
    </row>
    <row r="72" spans="2:7" ht="29" outlineLevel="1" x14ac:dyDescent="0.35">
      <c r="B72" s="77"/>
      <c r="C72" s="77"/>
      <c r="D72" s="2" t="s">
        <v>2267</v>
      </c>
      <c r="E72" s="2" t="s">
        <v>2273</v>
      </c>
      <c r="F72" s="97"/>
      <c r="G72" s="82" t="s">
        <v>341</v>
      </c>
    </row>
    <row r="73" spans="2:7" ht="58" outlineLevel="1" x14ac:dyDescent="0.35">
      <c r="B73" s="77"/>
      <c r="C73" s="77"/>
      <c r="D73" s="2" t="s">
        <v>2356</v>
      </c>
      <c r="E73" s="2" t="s">
        <v>2357</v>
      </c>
      <c r="F73" s="97"/>
      <c r="G73" s="82" t="s">
        <v>341</v>
      </c>
    </row>
    <row r="74" spans="2:7" ht="29" outlineLevel="1" x14ac:dyDescent="0.35">
      <c r="B74" s="77"/>
      <c r="C74" s="77"/>
      <c r="D74" s="2" t="s">
        <v>2358</v>
      </c>
      <c r="E74" s="2" t="s">
        <v>3949</v>
      </c>
      <c r="F74" s="97"/>
      <c r="G74" s="82" t="s">
        <v>341</v>
      </c>
    </row>
    <row r="75" spans="2:7" ht="29" outlineLevel="1" x14ac:dyDescent="0.35">
      <c r="B75" s="77"/>
      <c r="C75" s="77"/>
      <c r="D75" s="2" t="s">
        <v>2268</v>
      </c>
      <c r="E75" s="2" t="s">
        <v>2274</v>
      </c>
      <c r="F75" s="97"/>
      <c r="G75" s="82" t="s">
        <v>341</v>
      </c>
    </row>
    <row r="76" spans="2:7" ht="43.5" outlineLevel="1" x14ac:dyDescent="0.35">
      <c r="B76" s="77"/>
      <c r="C76" s="77"/>
      <c r="D76" s="2" t="s">
        <v>2269</v>
      </c>
      <c r="E76" s="2" t="s">
        <v>2275</v>
      </c>
      <c r="F76" s="97"/>
      <c r="G76" s="82" t="s">
        <v>341</v>
      </c>
    </row>
    <row r="77" spans="2:7" ht="72.5" outlineLevel="1" x14ac:dyDescent="0.35">
      <c r="B77" s="77"/>
      <c r="C77" s="77"/>
      <c r="D77" s="2" t="s">
        <v>2270</v>
      </c>
      <c r="E77" s="2" t="s">
        <v>2276</v>
      </c>
      <c r="F77" s="97"/>
      <c r="G77" s="82" t="s">
        <v>341</v>
      </c>
    </row>
    <row r="78" spans="2:7" ht="29" outlineLevel="1" x14ac:dyDescent="0.35">
      <c r="B78" s="77"/>
      <c r="C78" s="77"/>
      <c r="D78" s="2" t="s">
        <v>2388</v>
      </c>
      <c r="E78" s="2" t="s">
        <v>2389</v>
      </c>
      <c r="F78" s="97"/>
      <c r="G78" s="82" t="s">
        <v>341</v>
      </c>
    </row>
    <row r="79" spans="2:7" ht="43.5" outlineLevel="1" x14ac:dyDescent="0.35">
      <c r="B79" s="77"/>
      <c r="C79" s="77"/>
      <c r="D79" s="2" t="s">
        <v>2266</v>
      </c>
      <c r="E79" s="2" t="s">
        <v>2272</v>
      </c>
      <c r="F79" s="97"/>
      <c r="G79" s="82" t="s">
        <v>341</v>
      </c>
    </row>
    <row r="80" spans="2:7" ht="58" outlineLevel="1" x14ac:dyDescent="0.35">
      <c r="B80" s="77"/>
      <c r="C80" s="77"/>
      <c r="D80" s="2" t="s">
        <v>4813</v>
      </c>
      <c r="E80" s="2" t="s">
        <v>4815</v>
      </c>
      <c r="F80" s="97"/>
      <c r="G80" s="82" t="s">
        <v>341</v>
      </c>
    </row>
    <row r="81" spans="2:7" ht="43.5" outlineLevel="1" x14ac:dyDescent="0.35">
      <c r="B81" s="77"/>
      <c r="C81" s="77"/>
      <c r="D81" s="2" t="s">
        <v>4814</v>
      </c>
      <c r="E81" s="2" t="s">
        <v>4853</v>
      </c>
      <c r="F81" s="97"/>
      <c r="G81" s="82" t="s">
        <v>341</v>
      </c>
    </row>
    <row r="82" spans="2:7" ht="58" outlineLevel="1" x14ac:dyDescent="0.35">
      <c r="B82" s="77"/>
      <c r="C82" s="77"/>
      <c r="D82" s="2" t="s">
        <v>2142</v>
      </c>
      <c r="E82" s="2" t="s">
        <v>2144</v>
      </c>
      <c r="F82" s="97"/>
      <c r="G82" s="82" t="s">
        <v>341</v>
      </c>
    </row>
    <row r="83" spans="2:7" ht="58" outlineLevel="1" x14ac:dyDescent="0.35">
      <c r="B83" s="77"/>
      <c r="C83" s="77"/>
      <c r="D83" s="2" t="s">
        <v>2565</v>
      </c>
      <c r="E83" s="2" t="s">
        <v>2567</v>
      </c>
      <c r="F83" s="97"/>
      <c r="G83" s="82" t="s">
        <v>341</v>
      </c>
    </row>
    <row r="84" spans="2:7" ht="43.5" outlineLevel="1" x14ac:dyDescent="0.35">
      <c r="B84" s="77"/>
      <c r="C84" s="77"/>
      <c r="D84" s="2" t="s">
        <v>2265</v>
      </c>
      <c r="E84" s="2" t="s">
        <v>2271</v>
      </c>
      <c r="F84" s="97"/>
      <c r="G84" s="82" t="s">
        <v>341</v>
      </c>
    </row>
    <row r="85" spans="2:7" x14ac:dyDescent="0.35">
      <c r="B85" s="77"/>
      <c r="C85" s="77" t="s">
        <v>2674</v>
      </c>
      <c r="D85" s="77"/>
      <c r="E85" s="77"/>
      <c r="F85" s="97"/>
      <c r="G85" s="80">
        <f>COUNTIF(G86:G88,"Yes")</f>
        <v>3</v>
      </c>
    </row>
    <row r="86" spans="2:7" ht="43.5" outlineLevel="1" x14ac:dyDescent="0.35">
      <c r="B86" s="77"/>
      <c r="C86" s="77"/>
      <c r="D86" s="2" t="s">
        <v>2663</v>
      </c>
      <c r="E86" s="2" t="s">
        <v>2664</v>
      </c>
      <c r="F86" s="97"/>
      <c r="G86" s="82" t="s">
        <v>341</v>
      </c>
    </row>
    <row r="87" spans="2:7" ht="58" outlineLevel="1" x14ac:dyDescent="0.35">
      <c r="B87" s="77"/>
      <c r="C87" s="77"/>
      <c r="D87" s="2" t="s">
        <v>2727</v>
      </c>
      <c r="E87" s="2" t="s">
        <v>2728</v>
      </c>
      <c r="F87" s="97"/>
      <c r="G87" s="82" t="s">
        <v>341</v>
      </c>
    </row>
    <row r="88" spans="2:7" ht="72.5" outlineLevel="1" x14ac:dyDescent="0.35">
      <c r="B88" s="77"/>
      <c r="C88" s="77"/>
      <c r="D88" s="2" t="s">
        <v>2561</v>
      </c>
      <c r="E88" s="2" t="s">
        <v>2563</v>
      </c>
      <c r="F88" s="97"/>
      <c r="G88" s="82" t="s">
        <v>341</v>
      </c>
    </row>
    <row r="89" spans="2:7" ht="29" x14ac:dyDescent="0.35">
      <c r="B89" s="77"/>
      <c r="C89" s="77" t="s">
        <v>3360</v>
      </c>
      <c r="D89" s="77"/>
      <c r="E89" s="77"/>
      <c r="F89" s="97"/>
      <c r="G89" s="80">
        <f>COUNTIF(G90:G91,"Yes")</f>
        <v>1</v>
      </c>
    </row>
    <row r="90" spans="2:7" ht="72.5" outlineLevel="1" x14ac:dyDescent="0.35">
      <c r="B90" s="77"/>
      <c r="C90" s="77"/>
      <c r="D90" s="2" t="s">
        <v>3361</v>
      </c>
      <c r="E90" s="2" t="s">
        <v>3971</v>
      </c>
      <c r="F90" s="97"/>
      <c r="G90" s="82" t="s">
        <v>341</v>
      </c>
    </row>
    <row r="91" spans="2:7" x14ac:dyDescent="0.35">
      <c r="F91" s="97"/>
      <c r="G91" s="97"/>
    </row>
    <row r="92" spans="2:7" x14ac:dyDescent="0.35">
      <c r="F92" s="97"/>
      <c r="G92" s="97"/>
    </row>
    <row r="93" spans="2:7" x14ac:dyDescent="0.35">
      <c r="F93" s="97"/>
      <c r="G93" s="97"/>
    </row>
    <row r="94" spans="2:7" x14ac:dyDescent="0.35">
      <c r="F94" s="97"/>
      <c r="G94" s="97"/>
    </row>
    <row r="95" spans="2:7" x14ac:dyDescent="0.35">
      <c r="F95" s="97"/>
      <c r="G95" s="97"/>
    </row>
    <row r="96" spans="2:7" x14ac:dyDescent="0.35">
      <c r="F96" s="97"/>
      <c r="G96" s="97"/>
    </row>
    <row r="97" spans="6:7" x14ac:dyDescent="0.35">
      <c r="F97" s="97"/>
      <c r="G97" s="97"/>
    </row>
    <row r="98" spans="6:7" x14ac:dyDescent="0.35">
      <c r="F98" s="97"/>
      <c r="G98" s="97"/>
    </row>
    <row r="99" spans="6:7" x14ac:dyDescent="0.35">
      <c r="F99" s="97"/>
      <c r="G99" s="97"/>
    </row>
    <row r="100" spans="6:7" x14ac:dyDescent="0.35">
      <c r="F100" s="97"/>
      <c r="G100" s="97"/>
    </row>
    <row r="101" spans="6:7" x14ac:dyDescent="0.35">
      <c r="F101" s="97"/>
      <c r="G101" s="97"/>
    </row>
    <row r="102" spans="6:7" x14ac:dyDescent="0.35">
      <c r="F102" s="97"/>
      <c r="G102" s="97"/>
    </row>
    <row r="103" spans="6:7" x14ac:dyDescent="0.35">
      <c r="F103" s="97"/>
      <c r="G103" s="97"/>
    </row>
    <row r="104" spans="6:7" x14ac:dyDescent="0.35">
      <c r="F104" s="97"/>
      <c r="G104" s="97"/>
    </row>
    <row r="105" spans="6:7" x14ac:dyDescent="0.35">
      <c r="F105" s="97"/>
      <c r="G105" s="97"/>
    </row>
    <row r="106" spans="6:7" x14ac:dyDescent="0.35">
      <c r="F106" s="97"/>
      <c r="G106" s="97"/>
    </row>
    <row r="107" spans="6:7" x14ac:dyDescent="0.35">
      <c r="F107" s="97"/>
      <c r="G107" s="97"/>
    </row>
    <row r="108" spans="6:7" x14ac:dyDescent="0.35">
      <c r="F108" s="97"/>
      <c r="G108" s="97"/>
    </row>
    <row r="109" spans="6:7" x14ac:dyDescent="0.35">
      <c r="F109" s="97"/>
      <c r="G109" s="97"/>
    </row>
    <row r="110" spans="6:7" x14ac:dyDescent="0.35">
      <c r="F110" s="97"/>
      <c r="G110" s="97"/>
    </row>
    <row r="111" spans="6:7" x14ac:dyDescent="0.35">
      <c r="F111" s="97"/>
      <c r="G111" s="97"/>
    </row>
    <row r="112" spans="6:7" x14ac:dyDescent="0.35">
      <c r="F112" s="97"/>
      <c r="G112" s="97"/>
    </row>
    <row r="113" spans="6:7" x14ac:dyDescent="0.35">
      <c r="F113" s="97"/>
      <c r="G113" s="97"/>
    </row>
    <row r="114" spans="6:7" x14ac:dyDescent="0.35">
      <c r="F114" s="97"/>
      <c r="G114" s="97"/>
    </row>
    <row r="115" spans="6:7" x14ac:dyDescent="0.35">
      <c r="F115" s="97"/>
      <c r="G115" s="97"/>
    </row>
    <row r="116" spans="6:7" x14ac:dyDescent="0.35">
      <c r="F116" s="97"/>
      <c r="G116" s="97"/>
    </row>
    <row r="117" spans="6:7" x14ac:dyDescent="0.35">
      <c r="F117" s="97"/>
      <c r="G117" s="97"/>
    </row>
    <row r="118" spans="6:7" x14ac:dyDescent="0.35">
      <c r="F118" s="97"/>
      <c r="G118" s="97"/>
    </row>
    <row r="119" spans="6:7" x14ac:dyDescent="0.35">
      <c r="F119" s="97"/>
      <c r="G119" s="97"/>
    </row>
    <row r="120" spans="6:7" x14ac:dyDescent="0.35">
      <c r="F120" s="97"/>
      <c r="G120" s="97"/>
    </row>
    <row r="121" spans="6:7" x14ac:dyDescent="0.35">
      <c r="F121" s="97"/>
      <c r="G121" s="97"/>
    </row>
    <row r="122" spans="6:7" x14ac:dyDescent="0.35">
      <c r="F122" s="97"/>
      <c r="G122" s="97"/>
    </row>
    <row r="123" spans="6:7" x14ac:dyDescent="0.35">
      <c r="F123" s="97"/>
      <c r="G123" s="97"/>
    </row>
    <row r="124" spans="6:7" x14ac:dyDescent="0.35">
      <c r="F124" s="97"/>
      <c r="G124" s="97"/>
    </row>
    <row r="125" spans="6:7" x14ac:dyDescent="0.35">
      <c r="F125" s="97"/>
      <c r="G125" s="97"/>
    </row>
    <row r="126" spans="6:7" x14ac:dyDescent="0.35">
      <c r="F126" s="97"/>
      <c r="G126" s="97"/>
    </row>
    <row r="127" spans="6:7" x14ac:dyDescent="0.35">
      <c r="F127" s="97"/>
      <c r="G127" s="97"/>
    </row>
    <row r="128" spans="6:7" x14ac:dyDescent="0.35">
      <c r="F128" s="97"/>
      <c r="G128" s="97"/>
    </row>
    <row r="129" spans="6:7" x14ac:dyDescent="0.35">
      <c r="F129" s="97"/>
      <c r="G129" s="97"/>
    </row>
    <row r="130" spans="6:7" x14ac:dyDescent="0.35">
      <c r="F130" s="97"/>
      <c r="G130" s="97"/>
    </row>
    <row r="131" spans="6:7" x14ac:dyDescent="0.35">
      <c r="F131" s="97"/>
      <c r="G131" s="97"/>
    </row>
    <row r="132" spans="6:7" x14ac:dyDescent="0.35">
      <c r="F132" s="97"/>
      <c r="G132" s="97"/>
    </row>
    <row r="133" spans="6:7" x14ac:dyDescent="0.35">
      <c r="F133" s="97"/>
      <c r="G133" s="97"/>
    </row>
    <row r="134" spans="6:7" x14ac:dyDescent="0.35">
      <c r="F134" s="97"/>
      <c r="G134" s="97"/>
    </row>
    <row r="135" spans="6:7" x14ac:dyDescent="0.35">
      <c r="F135" s="97"/>
      <c r="G135" s="97"/>
    </row>
    <row r="136" spans="6:7" x14ac:dyDescent="0.35">
      <c r="F136" s="97"/>
      <c r="G136" s="97"/>
    </row>
    <row r="137" spans="6:7" x14ac:dyDescent="0.35">
      <c r="F137" s="97"/>
      <c r="G137" s="97"/>
    </row>
    <row r="138" spans="6:7" x14ac:dyDescent="0.35">
      <c r="F138" s="97"/>
      <c r="G138" s="97"/>
    </row>
    <row r="139" spans="6:7" x14ac:dyDescent="0.35">
      <c r="F139" s="97"/>
      <c r="G139" s="97"/>
    </row>
    <row r="140" spans="6:7" x14ac:dyDescent="0.35">
      <c r="F140" s="97"/>
      <c r="G140" s="97"/>
    </row>
    <row r="141" spans="6:7" x14ac:dyDescent="0.35">
      <c r="F141" s="97"/>
      <c r="G141" s="97"/>
    </row>
    <row r="142" spans="6:7" x14ac:dyDescent="0.35">
      <c r="F142" s="97"/>
      <c r="G142" s="97"/>
    </row>
    <row r="143" spans="6:7" x14ac:dyDescent="0.35">
      <c r="F143" s="97"/>
      <c r="G143" s="97"/>
    </row>
    <row r="144" spans="6:7" x14ac:dyDescent="0.35">
      <c r="F144" s="97"/>
      <c r="G144" s="97"/>
    </row>
    <row r="145" spans="6:7" x14ac:dyDescent="0.35">
      <c r="F145" s="97"/>
      <c r="G145" s="97"/>
    </row>
    <row r="146" spans="6:7" x14ac:dyDescent="0.35">
      <c r="F146" s="97"/>
      <c r="G146" s="97"/>
    </row>
    <row r="147" spans="6:7" x14ac:dyDescent="0.35">
      <c r="F147" s="97"/>
      <c r="G147" s="97"/>
    </row>
    <row r="148" spans="6:7" x14ac:dyDescent="0.35">
      <c r="F148" s="97"/>
      <c r="G148" s="97"/>
    </row>
    <row r="149" spans="6:7" x14ac:dyDescent="0.35">
      <c r="F149" s="97"/>
      <c r="G149" s="97"/>
    </row>
    <row r="150" spans="6:7" x14ac:dyDescent="0.35">
      <c r="F150" s="97"/>
      <c r="G150" s="97"/>
    </row>
    <row r="151" spans="6:7" x14ac:dyDescent="0.35">
      <c r="F151" s="97"/>
      <c r="G151" s="97"/>
    </row>
    <row r="152" spans="6:7" x14ac:dyDescent="0.35">
      <c r="F152" s="97"/>
      <c r="G152" s="97"/>
    </row>
    <row r="153" spans="6:7" x14ac:dyDescent="0.35">
      <c r="F153" s="97"/>
      <c r="G153" s="97"/>
    </row>
    <row r="154" spans="6:7" x14ac:dyDescent="0.35">
      <c r="F154" s="97"/>
      <c r="G154" s="97"/>
    </row>
    <row r="155" spans="6:7" x14ac:dyDescent="0.35">
      <c r="F155" s="97"/>
      <c r="G155" s="97"/>
    </row>
    <row r="156" spans="6:7" x14ac:dyDescent="0.35">
      <c r="F156" s="97"/>
      <c r="G156" s="97"/>
    </row>
    <row r="157" spans="6:7" x14ac:dyDescent="0.35">
      <c r="F157" s="97"/>
      <c r="G157" s="97"/>
    </row>
    <row r="158" spans="6:7" x14ac:dyDescent="0.35">
      <c r="F158" s="97"/>
      <c r="G158" s="97"/>
    </row>
    <row r="159" spans="6:7" x14ac:dyDescent="0.35">
      <c r="F159" s="97"/>
      <c r="G159" s="97"/>
    </row>
    <row r="160" spans="6:7" x14ac:dyDescent="0.35">
      <c r="F160" s="97"/>
      <c r="G160" s="97"/>
    </row>
    <row r="161" spans="6:7" x14ac:dyDescent="0.35">
      <c r="F161" s="97"/>
      <c r="G161" s="97"/>
    </row>
    <row r="162" spans="6:7" x14ac:dyDescent="0.35">
      <c r="F162" s="97"/>
      <c r="G162" s="97"/>
    </row>
    <row r="163" spans="6:7" x14ac:dyDescent="0.35">
      <c r="F163" s="97"/>
      <c r="G163" s="97"/>
    </row>
    <row r="164" spans="6:7" x14ac:dyDescent="0.35">
      <c r="F164" s="97"/>
      <c r="G164" s="97"/>
    </row>
    <row r="165" spans="6:7" x14ac:dyDescent="0.35">
      <c r="F165" s="97"/>
      <c r="G165" s="97"/>
    </row>
    <row r="166" spans="6:7" x14ac:dyDescent="0.35">
      <c r="F166" s="97"/>
      <c r="G166" s="97"/>
    </row>
    <row r="167" spans="6:7" x14ac:dyDescent="0.35">
      <c r="F167" s="97"/>
      <c r="G167" s="97"/>
    </row>
    <row r="168" spans="6:7" x14ac:dyDescent="0.35">
      <c r="F168" s="97"/>
      <c r="G168" s="97"/>
    </row>
    <row r="169" spans="6:7" x14ac:dyDescent="0.35">
      <c r="F169" s="97"/>
      <c r="G169" s="97"/>
    </row>
    <row r="170" spans="6:7" x14ac:dyDescent="0.35">
      <c r="F170" s="97"/>
      <c r="G170" s="97"/>
    </row>
    <row r="171" spans="6:7" x14ac:dyDescent="0.35">
      <c r="F171" s="97"/>
      <c r="G171" s="97"/>
    </row>
    <row r="172" spans="6:7" x14ac:dyDescent="0.35">
      <c r="F172" s="97"/>
      <c r="G172" s="97"/>
    </row>
    <row r="173" spans="6:7" x14ac:dyDescent="0.35">
      <c r="F173" s="97"/>
      <c r="G173" s="97"/>
    </row>
    <row r="174" spans="6:7" x14ac:dyDescent="0.35">
      <c r="F174" s="97"/>
      <c r="G174" s="97"/>
    </row>
    <row r="175" spans="6:7" x14ac:dyDescent="0.35">
      <c r="F175" s="97"/>
      <c r="G175" s="97"/>
    </row>
    <row r="176" spans="6:7" x14ac:dyDescent="0.35">
      <c r="F176" s="97"/>
      <c r="G176" s="97"/>
    </row>
    <row r="177" spans="6:7" x14ac:dyDescent="0.35">
      <c r="F177" s="97"/>
      <c r="G177" s="97"/>
    </row>
    <row r="178" spans="6:7" x14ac:dyDescent="0.35">
      <c r="F178" s="97"/>
      <c r="G178" s="97"/>
    </row>
    <row r="179" spans="6:7" x14ac:dyDescent="0.35">
      <c r="F179" s="97"/>
      <c r="G179" s="97"/>
    </row>
    <row r="180" spans="6:7" x14ac:dyDescent="0.35">
      <c r="F180" s="97"/>
      <c r="G180" s="97"/>
    </row>
    <row r="181" spans="6:7" x14ac:dyDescent="0.35">
      <c r="F181" s="97"/>
      <c r="G181" s="97"/>
    </row>
    <row r="182" spans="6:7" x14ac:dyDescent="0.35">
      <c r="F182" s="97"/>
      <c r="G182" s="97"/>
    </row>
    <row r="183" spans="6:7" x14ac:dyDescent="0.35">
      <c r="F183" s="97"/>
      <c r="G183" s="97"/>
    </row>
    <row r="184" spans="6:7" x14ac:dyDescent="0.35">
      <c r="F184" s="97"/>
      <c r="G184" s="97"/>
    </row>
    <row r="185" spans="6:7" x14ac:dyDescent="0.35">
      <c r="F185" s="97"/>
      <c r="G185" s="97"/>
    </row>
    <row r="186" spans="6:7" x14ac:dyDescent="0.35">
      <c r="F186" s="97"/>
      <c r="G186" s="97"/>
    </row>
    <row r="187" spans="6:7" x14ac:dyDescent="0.35">
      <c r="F187" s="97"/>
      <c r="G187" s="97"/>
    </row>
    <row r="188" spans="6:7" x14ac:dyDescent="0.35">
      <c r="F188" s="97"/>
      <c r="G188" s="97"/>
    </row>
    <row r="189" spans="6:7" x14ac:dyDescent="0.35">
      <c r="F189" s="97"/>
      <c r="G189" s="97"/>
    </row>
    <row r="190" spans="6:7" x14ac:dyDescent="0.35">
      <c r="F190" s="97"/>
      <c r="G190" s="97"/>
    </row>
    <row r="191" spans="6:7" x14ac:dyDescent="0.35">
      <c r="F191" s="97"/>
      <c r="G191" s="97"/>
    </row>
    <row r="192" spans="6:7" x14ac:dyDescent="0.35">
      <c r="F192" s="97"/>
      <c r="G192" s="97"/>
    </row>
    <row r="193" spans="6:7" x14ac:dyDescent="0.35">
      <c r="F193" s="97"/>
      <c r="G193" s="97"/>
    </row>
    <row r="194" spans="6:7" x14ac:dyDescent="0.35">
      <c r="F194" s="97"/>
      <c r="G194" s="97"/>
    </row>
    <row r="195" spans="6:7" x14ac:dyDescent="0.35">
      <c r="F195" s="97"/>
      <c r="G195" s="97"/>
    </row>
    <row r="196" spans="6:7" x14ac:dyDescent="0.35">
      <c r="F196" s="97"/>
      <c r="G196" s="97"/>
    </row>
    <row r="197" spans="6:7" x14ac:dyDescent="0.35">
      <c r="F197" s="97"/>
      <c r="G197" s="97"/>
    </row>
    <row r="198" spans="6:7" x14ac:dyDescent="0.35">
      <c r="F198" s="97"/>
      <c r="G198" s="97"/>
    </row>
    <row r="199" spans="6:7" x14ac:dyDescent="0.35">
      <c r="F199" s="97"/>
      <c r="G199" s="97"/>
    </row>
    <row r="200" spans="6:7" x14ac:dyDescent="0.35">
      <c r="F200" s="97"/>
      <c r="G200" s="97"/>
    </row>
    <row r="201" spans="6:7" x14ac:dyDescent="0.35">
      <c r="F201" s="97"/>
      <c r="G201" s="97"/>
    </row>
    <row r="202" spans="6:7" x14ac:dyDescent="0.35">
      <c r="F202" s="97"/>
      <c r="G202" s="97"/>
    </row>
    <row r="203" spans="6:7" x14ac:dyDescent="0.35">
      <c r="F203" s="97"/>
      <c r="G203" s="97"/>
    </row>
    <row r="204" spans="6:7" x14ac:dyDescent="0.35">
      <c r="F204" s="97"/>
      <c r="G204" s="97"/>
    </row>
    <row r="205" spans="6:7" x14ac:dyDescent="0.35">
      <c r="F205" s="97"/>
      <c r="G205" s="97"/>
    </row>
    <row r="206" spans="6:7" x14ac:dyDescent="0.35">
      <c r="F206" s="97"/>
      <c r="G206" s="97"/>
    </row>
    <row r="207" spans="6:7" x14ac:dyDescent="0.35">
      <c r="F207" s="97"/>
      <c r="G207" s="97"/>
    </row>
    <row r="208" spans="6:7" x14ac:dyDescent="0.35">
      <c r="F208" s="97"/>
      <c r="G208" s="97"/>
    </row>
    <row r="209" spans="6:7" x14ac:dyDescent="0.35">
      <c r="F209" s="97"/>
      <c r="G209" s="97"/>
    </row>
    <row r="210" spans="6:7" x14ac:dyDescent="0.35">
      <c r="F210" s="97"/>
      <c r="G210" s="97"/>
    </row>
    <row r="211" spans="6:7" x14ac:dyDescent="0.35">
      <c r="F211" s="97"/>
      <c r="G211" s="97"/>
    </row>
    <row r="212" spans="6:7" x14ac:dyDescent="0.35">
      <c r="F212" s="97"/>
      <c r="G212" s="97"/>
    </row>
    <row r="213" spans="6:7" x14ac:dyDescent="0.35">
      <c r="F213" s="97"/>
      <c r="G213" s="97"/>
    </row>
    <row r="214" spans="6:7" x14ac:dyDescent="0.35">
      <c r="F214" s="97"/>
      <c r="G214" s="97"/>
    </row>
    <row r="215" spans="6:7" x14ac:dyDescent="0.35">
      <c r="F215" s="97"/>
      <c r="G215" s="97"/>
    </row>
    <row r="216" spans="6:7" x14ac:dyDescent="0.35">
      <c r="F216" s="97"/>
      <c r="G216" s="97"/>
    </row>
    <row r="217" spans="6:7" x14ac:dyDescent="0.35">
      <c r="F217" s="97"/>
      <c r="G217" s="97"/>
    </row>
    <row r="218" spans="6:7" x14ac:dyDescent="0.35">
      <c r="F218" s="97"/>
      <c r="G218" s="97"/>
    </row>
    <row r="219" spans="6:7" x14ac:dyDescent="0.35">
      <c r="F219" s="97"/>
      <c r="G219" s="97"/>
    </row>
    <row r="220" spans="6:7" x14ac:dyDescent="0.35">
      <c r="F220" s="97"/>
      <c r="G220" s="97"/>
    </row>
    <row r="221" spans="6:7" x14ac:dyDescent="0.35">
      <c r="F221" s="97"/>
      <c r="G221" s="97"/>
    </row>
    <row r="222" spans="6:7" x14ac:dyDescent="0.35">
      <c r="F222" s="97"/>
      <c r="G222" s="97"/>
    </row>
    <row r="223" spans="6:7" x14ac:dyDescent="0.35">
      <c r="F223" s="97"/>
      <c r="G223" s="97"/>
    </row>
    <row r="224" spans="6:7" x14ac:dyDescent="0.35">
      <c r="F224" s="97"/>
      <c r="G224" s="97"/>
    </row>
    <row r="225" spans="6:7" x14ac:dyDescent="0.35">
      <c r="F225" s="97"/>
      <c r="G225" s="97"/>
    </row>
    <row r="226" spans="6:7" x14ac:dyDescent="0.35">
      <c r="F226" s="97"/>
      <c r="G226" s="97"/>
    </row>
    <row r="227" spans="6:7" x14ac:dyDescent="0.35">
      <c r="F227" s="97"/>
      <c r="G227" s="97"/>
    </row>
    <row r="228" spans="6:7" x14ac:dyDescent="0.35">
      <c r="F228" s="97"/>
      <c r="G228" s="97"/>
    </row>
    <row r="229" spans="6:7" x14ac:dyDescent="0.35">
      <c r="F229" s="97"/>
      <c r="G229" s="97"/>
    </row>
    <row r="230" spans="6:7" x14ac:dyDescent="0.35">
      <c r="F230" s="97"/>
      <c r="G230" s="97"/>
    </row>
    <row r="231" spans="6:7" x14ac:dyDescent="0.35">
      <c r="F231" s="97"/>
      <c r="G231" s="97"/>
    </row>
    <row r="232" spans="6:7" x14ac:dyDescent="0.35">
      <c r="F232" s="97"/>
      <c r="G232" s="97"/>
    </row>
    <row r="233" spans="6:7" x14ac:dyDescent="0.35">
      <c r="F233" s="97"/>
      <c r="G233" s="97"/>
    </row>
    <row r="234" spans="6:7" x14ac:dyDescent="0.35">
      <c r="F234" s="97"/>
      <c r="G234" s="97"/>
    </row>
    <row r="235" spans="6:7" x14ac:dyDescent="0.35">
      <c r="F235" s="97"/>
      <c r="G235" s="97"/>
    </row>
    <row r="236" spans="6:7" x14ac:dyDescent="0.35">
      <c r="F236" s="97"/>
      <c r="G236" s="97"/>
    </row>
    <row r="237" spans="6:7" x14ac:dyDescent="0.35">
      <c r="F237" s="97"/>
      <c r="G237" s="97"/>
    </row>
    <row r="238" spans="6:7" x14ac:dyDescent="0.35">
      <c r="F238" s="97"/>
      <c r="G238" s="97"/>
    </row>
    <row r="239" spans="6:7" x14ac:dyDescent="0.35">
      <c r="F239" s="97"/>
      <c r="G239" s="97"/>
    </row>
    <row r="240" spans="6:7" x14ac:dyDescent="0.35">
      <c r="F240" s="97"/>
      <c r="G240" s="97"/>
    </row>
    <row r="241" spans="6:7" x14ac:dyDescent="0.35">
      <c r="F241" s="97"/>
      <c r="G241" s="97"/>
    </row>
    <row r="242" spans="6:7" x14ac:dyDescent="0.35">
      <c r="F242" s="97"/>
      <c r="G242" s="97"/>
    </row>
    <row r="243" spans="6:7" x14ac:dyDescent="0.35">
      <c r="F243" s="62"/>
    </row>
    <row r="244" spans="6:7" x14ac:dyDescent="0.35">
      <c r="F244" s="62"/>
    </row>
  </sheetData>
  <sortState xmlns:xlrd2="http://schemas.microsoft.com/office/spreadsheetml/2017/richdata2" ref="D20:E37">
    <sortCondition ref="D20:D37"/>
    <sortCondition ref="E20:E37"/>
  </sortState>
  <mergeCells count="3">
    <mergeCell ref="B6:E6"/>
    <mergeCell ref="G3:G4"/>
    <mergeCell ref="B2:B4"/>
  </mergeCells>
  <dataValidations count="1">
    <dataValidation type="list" allowBlank="1" showInputMessage="1" showErrorMessage="1" sqref="G49:G54 G86:G88 G42:G47 G90 G20:G40 G56:G61 G10:G18 G63:G84" xr:uid="{00000000-0002-0000-1100-000000000000}">
      <formula1>"Yes, No"</formula1>
    </dataValidation>
  </dataValidations>
  <pageMargins left="0.7" right="0.7" top="0.75" bottom="0.75" header="0.3" footer="0.3"/>
  <pageSetup paperSize="9" orientation="portrait"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rgb="FF293276"/>
  </sheetPr>
  <dimension ref="B1:I93"/>
  <sheetViews>
    <sheetView showGridLines="0" zoomScale="80" zoomScaleNormal="80" workbookViewId="0">
      <selection activeCell="C2" sqref="C2"/>
    </sheetView>
  </sheetViews>
  <sheetFormatPr defaultRowHeight="14.5" outlineLevelRow="1" x14ac:dyDescent="0.35"/>
  <cols>
    <col min="1" max="1" width="2.1796875" style="62" customWidth="1"/>
    <col min="2" max="3" width="30.6328125" style="62" customWidth="1"/>
    <col min="4" max="4" width="50.6328125" style="62" customWidth="1"/>
    <col min="5" max="5" width="76.6328125" style="62" customWidth="1"/>
    <col min="6" max="6" width="2.1796875" style="62" customWidth="1"/>
    <col min="7" max="7" width="9.1796875" style="62" customWidth="1"/>
    <col min="8" max="16384" width="8.7265625" style="62"/>
  </cols>
  <sheetData>
    <row r="1" spans="2:7" ht="18.5" customHeight="1" x14ac:dyDescent="0.35">
      <c r="B1" s="70"/>
    </row>
    <row r="2" spans="2:7" x14ac:dyDescent="0.35">
      <c r="B2" s="193"/>
      <c r="C2" s="151"/>
      <c r="D2" s="11" t="s">
        <v>41</v>
      </c>
      <c r="E2" s="11" t="s">
        <v>2153</v>
      </c>
      <c r="F2" s="79"/>
      <c r="G2" s="13" t="s">
        <v>342</v>
      </c>
    </row>
    <row r="3" spans="2:7" x14ac:dyDescent="0.35">
      <c r="B3" s="193"/>
      <c r="C3" s="151"/>
      <c r="D3" s="11" t="s">
        <v>226</v>
      </c>
      <c r="E3" s="11">
        <f>COUNTIF(E8:E93,"*")</f>
        <v>69</v>
      </c>
      <c r="F3" s="79"/>
      <c r="G3" s="185">
        <f>COUNTIF(G8:G93,"Yes")</f>
        <v>69</v>
      </c>
    </row>
    <row r="4" spans="2:7" x14ac:dyDescent="0.35">
      <c r="B4" s="193"/>
      <c r="C4" s="151"/>
      <c r="D4" s="15" t="s">
        <v>79</v>
      </c>
      <c r="E4" s="15" t="str">
        <f>'(12) Digital Engagement'!E4</f>
        <v>R25 Model Bank</v>
      </c>
      <c r="F4" s="79"/>
      <c r="G4" s="186"/>
    </row>
    <row r="5" spans="2:7" ht="18.5" customHeight="1" x14ac:dyDescent="0.35"/>
    <row r="6" spans="2:7" x14ac:dyDescent="0.35">
      <c r="B6" s="191"/>
      <c r="C6" s="192"/>
      <c r="D6" s="192"/>
      <c r="E6" s="192"/>
      <c r="F6" s="79"/>
      <c r="G6" s="18" t="s">
        <v>340</v>
      </c>
    </row>
    <row r="7" spans="2:7" x14ac:dyDescent="0.35">
      <c r="B7" s="75" t="s">
        <v>83</v>
      </c>
      <c r="C7" s="75" t="s">
        <v>86</v>
      </c>
      <c r="D7" s="75" t="s">
        <v>87</v>
      </c>
      <c r="E7" s="75" t="s">
        <v>54</v>
      </c>
      <c r="F7" s="79"/>
      <c r="G7" s="76" t="s">
        <v>342</v>
      </c>
    </row>
    <row r="8" spans="2:7" x14ac:dyDescent="0.35">
      <c r="B8" s="77" t="s">
        <v>2153</v>
      </c>
      <c r="C8" s="77"/>
      <c r="D8" s="2"/>
      <c r="E8" s="2"/>
      <c r="F8" s="79"/>
      <c r="G8" s="78"/>
    </row>
    <row r="9" spans="2:7" ht="29" x14ac:dyDescent="0.35">
      <c r="B9" s="77"/>
      <c r="C9" s="77" t="s">
        <v>2154</v>
      </c>
      <c r="D9" s="2"/>
      <c r="E9" s="2"/>
      <c r="F9" s="79"/>
      <c r="G9" s="80">
        <f>COUNTIF(G10:G17,"Yes")</f>
        <v>7</v>
      </c>
    </row>
    <row r="10" spans="2:7" x14ac:dyDescent="0.35">
      <c r="B10" s="77"/>
      <c r="C10" s="77"/>
      <c r="D10" s="81" t="s">
        <v>3668</v>
      </c>
      <c r="E10" s="2"/>
      <c r="F10" s="79"/>
      <c r="G10" s="78"/>
    </row>
    <row r="11" spans="2:7" ht="58.5" customHeight="1" outlineLevel="1" x14ac:dyDescent="0.35">
      <c r="B11" s="77"/>
      <c r="C11" s="139"/>
      <c r="D11" s="2" t="s">
        <v>2155</v>
      </c>
      <c r="E11" s="2" t="s">
        <v>2156</v>
      </c>
      <c r="F11" s="79"/>
      <c r="G11" s="82" t="s">
        <v>341</v>
      </c>
    </row>
    <row r="12" spans="2:7" ht="58" outlineLevel="1" x14ac:dyDescent="0.35">
      <c r="B12" s="77"/>
      <c r="C12" s="139"/>
      <c r="D12" s="2" t="s">
        <v>2297</v>
      </c>
      <c r="E12" s="2" t="s">
        <v>2995</v>
      </c>
      <c r="F12" s="79"/>
      <c r="G12" s="82" t="s">
        <v>341</v>
      </c>
    </row>
    <row r="13" spans="2:7" ht="29" outlineLevel="1" x14ac:dyDescent="0.35">
      <c r="B13" s="77"/>
      <c r="C13" s="139"/>
      <c r="D13" s="2" t="s">
        <v>2298</v>
      </c>
      <c r="E13" s="2" t="s">
        <v>2309</v>
      </c>
      <c r="F13" s="79"/>
      <c r="G13" s="82" t="s">
        <v>341</v>
      </c>
    </row>
    <row r="14" spans="2:7" ht="116" outlineLevel="1" x14ac:dyDescent="0.35">
      <c r="B14" s="77"/>
      <c r="C14" s="139"/>
      <c r="D14" s="2" t="s">
        <v>2454</v>
      </c>
      <c r="E14" s="2" t="s">
        <v>2438</v>
      </c>
      <c r="F14" s="79"/>
      <c r="G14" s="82" t="s">
        <v>341</v>
      </c>
    </row>
    <row r="15" spans="2:7" ht="101.5" outlineLevel="1" x14ac:dyDescent="0.35">
      <c r="B15" s="77"/>
      <c r="C15" s="139"/>
      <c r="D15" s="2" t="s">
        <v>2299</v>
      </c>
      <c r="E15" s="2" t="s">
        <v>2316</v>
      </c>
      <c r="F15" s="79"/>
      <c r="G15" s="82" t="s">
        <v>341</v>
      </c>
    </row>
    <row r="16" spans="2:7" ht="58" outlineLevel="1" x14ac:dyDescent="0.35">
      <c r="B16" s="77"/>
      <c r="C16" s="139"/>
      <c r="D16" s="2" t="s">
        <v>2645</v>
      </c>
      <c r="E16" s="2" t="s">
        <v>2646</v>
      </c>
      <c r="F16" s="79"/>
      <c r="G16" s="82" t="s">
        <v>341</v>
      </c>
    </row>
    <row r="17" spans="2:9" ht="58" outlineLevel="1" x14ac:dyDescent="0.35">
      <c r="B17" s="77"/>
      <c r="C17" s="139"/>
      <c r="D17" s="2" t="s">
        <v>2300</v>
      </c>
      <c r="E17" s="2" t="s">
        <v>3030</v>
      </c>
      <c r="F17" s="79"/>
      <c r="G17" s="82" t="s">
        <v>341</v>
      </c>
    </row>
    <row r="18" spans="2:9" ht="29" x14ac:dyDescent="0.35">
      <c r="B18" s="77"/>
      <c r="C18" s="77" t="s">
        <v>2301</v>
      </c>
      <c r="E18" s="2"/>
      <c r="F18" s="79"/>
      <c r="G18" s="80">
        <f>COUNTIF(G19:G19,"Yes")</f>
        <v>1</v>
      </c>
    </row>
    <row r="19" spans="2:9" ht="101.5" outlineLevel="1" x14ac:dyDescent="0.35">
      <c r="B19" s="77"/>
      <c r="C19" s="139"/>
      <c r="D19" s="2" t="s">
        <v>2302</v>
      </c>
      <c r="E19" s="2" t="s">
        <v>2308</v>
      </c>
      <c r="F19" s="79"/>
      <c r="G19" s="82" t="s">
        <v>341</v>
      </c>
    </row>
    <row r="20" spans="2:9" ht="29" x14ac:dyDescent="0.35">
      <c r="B20" s="77"/>
      <c r="C20" s="77" t="s">
        <v>2359</v>
      </c>
      <c r="D20" s="2"/>
      <c r="E20" s="2"/>
      <c r="G20" s="80">
        <f>COUNTIF(G21:G24,"Yes")</f>
        <v>4</v>
      </c>
      <c r="I20" s="96"/>
    </row>
    <row r="21" spans="2:9" ht="43.5" outlineLevel="1" x14ac:dyDescent="0.35">
      <c r="B21" s="77"/>
      <c r="C21" s="139"/>
      <c r="D21" s="2" t="s">
        <v>2360</v>
      </c>
      <c r="E21" s="2" t="s">
        <v>2976</v>
      </c>
      <c r="G21" s="82" t="s">
        <v>341</v>
      </c>
    </row>
    <row r="22" spans="2:9" ht="72.5" outlineLevel="1" x14ac:dyDescent="0.35">
      <c r="B22" s="77"/>
      <c r="C22" s="139"/>
      <c r="D22" s="2" t="s">
        <v>2361</v>
      </c>
      <c r="E22" s="2" t="s">
        <v>2364</v>
      </c>
      <c r="G22" s="82" t="s">
        <v>341</v>
      </c>
    </row>
    <row r="23" spans="2:9" ht="43.5" outlineLevel="1" x14ac:dyDescent="0.35">
      <c r="B23" s="77"/>
      <c r="C23" s="139"/>
      <c r="D23" s="2" t="s">
        <v>2362</v>
      </c>
      <c r="E23" s="2" t="s">
        <v>2997</v>
      </c>
      <c r="G23" s="82" t="s">
        <v>341</v>
      </c>
    </row>
    <row r="24" spans="2:9" ht="87" outlineLevel="1" x14ac:dyDescent="0.35">
      <c r="B24" s="77"/>
      <c r="C24" s="139"/>
      <c r="D24" s="2" t="s">
        <v>2363</v>
      </c>
      <c r="E24" s="2" t="s">
        <v>2979</v>
      </c>
      <c r="G24" s="82" t="s">
        <v>341</v>
      </c>
    </row>
    <row r="25" spans="2:9" ht="29" x14ac:dyDescent="0.35">
      <c r="B25" s="77"/>
      <c r="C25" s="77" t="s">
        <v>3669</v>
      </c>
      <c r="D25" s="139"/>
      <c r="E25" s="2"/>
      <c r="G25" s="80">
        <f>COUNTIF(G27:G64,"Yes")</f>
        <v>32</v>
      </c>
    </row>
    <row r="26" spans="2:9" x14ac:dyDescent="0.35">
      <c r="B26" s="77"/>
      <c r="C26" s="139"/>
      <c r="D26" s="81" t="s">
        <v>3670</v>
      </c>
      <c r="E26" s="2"/>
      <c r="G26" s="78"/>
    </row>
    <row r="27" spans="2:9" ht="29" outlineLevel="1" x14ac:dyDescent="0.35">
      <c r="B27" s="77"/>
      <c r="C27" s="139"/>
      <c r="D27" s="2" t="s">
        <v>2365</v>
      </c>
      <c r="E27" s="2" t="s">
        <v>2370</v>
      </c>
      <c r="G27" s="82" t="s">
        <v>341</v>
      </c>
    </row>
    <row r="28" spans="2:9" ht="29" outlineLevel="1" x14ac:dyDescent="0.35">
      <c r="B28" s="77"/>
      <c r="C28" s="139"/>
      <c r="D28" s="2" t="s">
        <v>2366</v>
      </c>
      <c r="E28" s="2" t="s">
        <v>2371</v>
      </c>
      <c r="G28" s="82" t="s">
        <v>341</v>
      </c>
    </row>
    <row r="29" spans="2:9" ht="29" outlineLevel="1" x14ac:dyDescent="0.35">
      <c r="B29" s="77"/>
      <c r="C29" s="139"/>
      <c r="D29" s="2" t="s">
        <v>2367</v>
      </c>
      <c r="E29" s="2" t="s">
        <v>2372</v>
      </c>
      <c r="G29" s="82" t="s">
        <v>341</v>
      </c>
    </row>
    <row r="30" spans="2:9" ht="29" outlineLevel="1" x14ac:dyDescent="0.35">
      <c r="B30" s="77"/>
      <c r="C30" s="139"/>
      <c r="D30" s="2" t="s">
        <v>2368</v>
      </c>
      <c r="E30" s="2" t="s">
        <v>2373</v>
      </c>
      <c r="G30" s="82" t="s">
        <v>341</v>
      </c>
    </row>
    <row r="31" spans="2:9" ht="29" outlineLevel="1" x14ac:dyDescent="0.35">
      <c r="B31" s="77"/>
      <c r="C31" s="139"/>
      <c r="D31" s="2" t="s">
        <v>3671</v>
      </c>
      <c r="E31" s="2" t="s">
        <v>2374</v>
      </c>
      <c r="G31" s="82" t="s">
        <v>341</v>
      </c>
    </row>
    <row r="32" spans="2:9" ht="43.5" outlineLevel="1" x14ac:dyDescent="0.35">
      <c r="B32" s="77"/>
      <c r="C32" s="139"/>
      <c r="D32" s="2" t="s">
        <v>2369</v>
      </c>
      <c r="E32" s="2" t="s">
        <v>2375</v>
      </c>
      <c r="G32" s="82" t="s">
        <v>341</v>
      </c>
    </row>
    <row r="33" spans="2:7" ht="43.5" outlineLevel="1" x14ac:dyDescent="0.35">
      <c r="B33" s="77"/>
      <c r="C33" s="139"/>
      <c r="D33" s="2" t="s">
        <v>2570</v>
      </c>
      <c r="E33" s="2" t="s">
        <v>2572</v>
      </c>
      <c r="G33" s="82" t="s">
        <v>341</v>
      </c>
    </row>
    <row r="34" spans="2:7" ht="58" outlineLevel="1" x14ac:dyDescent="0.35">
      <c r="B34" s="77"/>
      <c r="C34" s="139"/>
      <c r="D34" s="2" t="s">
        <v>2569</v>
      </c>
      <c r="E34" s="2" t="s">
        <v>2571</v>
      </c>
      <c r="G34" s="82" t="s">
        <v>341</v>
      </c>
    </row>
    <row r="35" spans="2:7" ht="58" outlineLevel="1" x14ac:dyDescent="0.35">
      <c r="B35" s="77"/>
      <c r="C35" s="77"/>
      <c r="D35" s="2" t="s">
        <v>2463</v>
      </c>
      <c r="E35" s="2" t="s">
        <v>2439</v>
      </c>
      <c r="G35" s="82" t="s">
        <v>341</v>
      </c>
    </row>
    <row r="36" spans="2:7" x14ac:dyDescent="0.35">
      <c r="B36" s="77"/>
      <c r="C36" s="77"/>
      <c r="D36" s="81" t="s">
        <v>2440</v>
      </c>
      <c r="E36" s="2"/>
      <c r="G36" s="78"/>
    </row>
    <row r="37" spans="2:7" ht="87" outlineLevel="1" x14ac:dyDescent="0.35">
      <c r="B37" s="77"/>
      <c r="C37" s="77"/>
      <c r="D37" s="2" t="s">
        <v>2441</v>
      </c>
      <c r="E37" s="2" t="s">
        <v>2977</v>
      </c>
      <c r="G37" s="82" t="s">
        <v>341</v>
      </c>
    </row>
    <row r="38" spans="2:7" x14ac:dyDescent="0.35">
      <c r="B38" s="77"/>
      <c r="C38" s="77"/>
      <c r="D38" s="81" t="s">
        <v>2442</v>
      </c>
      <c r="E38" s="2"/>
      <c r="G38" s="78"/>
    </row>
    <row r="39" spans="2:7" outlineLevel="1" x14ac:dyDescent="0.35">
      <c r="B39" s="77"/>
      <c r="C39" s="77"/>
      <c r="D39" s="2" t="s">
        <v>2443</v>
      </c>
      <c r="E39" s="2" t="s">
        <v>2445</v>
      </c>
      <c r="G39" s="82" t="s">
        <v>341</v>
      </c>
    </row>
    <row r="40" spans="2:7" ht="29" outlineLevel="1" x14ac:dyDescent="0.35">
      <c r="B40" s="77"/>
      <c r="C40" s="77"/>
      <c r="D40" s="2" t="s">
        <v>2444</v>
      </c>
      <c r="E40" s="2" t="s">
        <v>2446</v>
      </c>
      <c r="G40" s="82" t="s">
        <v>341</v>
      </c>
    </row>
    <row r="41" spans="2:7" outlineLevel="1" x14ac:dyDescent="0.35">
      <c r="B41" s="77"/>
      <c r="C41" s="77"/>
      <c r="D41" s="2" t="s">
        <v>2451</v>
      </c>
      <c r="E41" s="2" t="s">
        <v>2447</v>
      </c>
      <c r="G41" s="82" t="s">
        <v>341</v>
      </c>
    </row>
    <row r="42" spans="2:7" ht="87" outlineLevel="1" x14ac:dyDescent="0.35">
      <c r="B42" s="77"/>
      <c r="C42" s="77"/>
      <c r="D42" s="2" t="s">
        <v>2462</v>
      </c>
      <c r="E42" s="2" t="s">
        <v>2448</v>
      </c>
      <c r="G42" s="82" t="s">
        <v>341</v>
      </c>
    </row>
    <row r="43" spans="2:7" ht="58" outlineLevel="1" x14ac:dyDescent="0.35">
      <c r="B43" s="77"/>
      <c r="C43" s="77"/>
      <c r="D43" s="2" t="s">
        <v>2461</v>
      </c>
      <c r="E43" s="2" t="s">
        <v>2449</v>
      </c>
      <c r="G43" s="82" t="s">
        <v>341</v>
      </c>
    </row>
    <row r="44" spans="2:7" ht="159.5" outlineLevel="1" x14ac:dyDescent="0.35">
      <c r="B44" s="77"/>
      <c r="C44" s="77"/>
      <c r="D44" s="2" t="s">
        <v>2464</v>
      </c>
      <c r="E44" s="2" t="s">
        <v>4040</v>
      </c>
      <c r="G44" s="82" t="s">
        <v>341</v>
      </c>
    </row>
    <row r="45" spans="2:7" ht="87" outlineLevel="1" x14ac:dyDescent="0.35">
      <c r="B45" s="77"/>
      <c r="C45" s="77"/>
      <c r="D45" s="2" t="s">
        <v>2452</v>
      </c>
      <c r="E45" s="2" t="s">
        <v>2450</v>
      </c>
      <c r="G45" s="82" t="s">
        <v>341</v>
      </c>
    </row>
    <row r="46" spans="2:7" x14ac:dyDescent="0.35">
      <c r="B46" s="77"/>
      <c r="C46" s="77"/>
      <c r="D46" s="81" t="s">
        <v>2573</v>
      </c>
      <c r="E46" s="2"/>
      <c r="G46" s="78"/>
    </row>
    <row r="47" spans="2:7" ht="58" outlineLevel="1" x14ac:dyDescent="0.35">
      <c r="B47" s="77"/>
      <c r="C47" s="77"/>
      <c r="D47" s="2" t="s">
        <v>2574</v>
      </c>
      <c r="E47" s="2" t="s">
        <v>2577</v>
      </c>
      <c r="G47" s="82" t="s">
        <v>341</v>
      </c>
    </row>
    <row r="48" spans="2:7" ht="43.5" outlineLevel="1" x14ac:dyDescent="0.35">
      <c r="B48" s="77"/>
      <c r="C48" s="77"/>
      <c r="D48" s="2" t="s">
        <v>2656</v>
      </c>
      <c r="E48" s="2" t="s">
        <v>2673</v>
      </c>
      <c r="G48" s="82" t="s">
        <v>341</v>
      </c>
    </row>
    <row r="49" spans="2:7" ht="29" outlineLevel="1" x14ac:dyDescent="0.35">
      <c r="B49" s="77"/>
      <c r="C49" s="77"/>
      <c r="D49" s="2" t="s">
        <v>2575</v>
      </c>
      <c r="E49" s="2" t="s">
        <v>4038</v>
      </c>
      <c r="G49" s="82" t="s">
        <v>341</v>
      </c>
    </row>
    <row r="50" spans="2:7" ht="87" outlineLevel="1" x14ac:dyDescent="0.35">
      <c r="B50" s="77"/>
      <c r="C50" s="77"/>
      <c r="D50" s="2" t="s">
        <v>2576</v>
      </c>
      <c r="E50" s="2" t="s">
        <v>4039</v>
      </c>
      <c r="G50" s="82" t="s">
        <v>341</v>
      </c>
    </row>
    <row r="51" spans="2:7" x14ac:dyDescent="0.35">
      <c r="B51" s="77"/>
      <c r="C51" s="77"/>
      <c r="D51" s="81" t="s">
        <v>2578</v>
      </c>
      <c r="E51" s="2"/>
      <c r="G51" s="78"/>
    </row>
    <row r="52" spans="2:7" ht="43.5" outlineLevel="1" x14ac:dyDescent="0.35">
      <c r="B52" s="77"/>
      <c r="C52" s="77"/>
      <c r="D52" s="2" t="s">
        <v>2579</v>
      </c>
      <c r="E52" s="2" t="s">
        <v>2585</v>
      </c>
      <c r="G52" s="82" t="s">
        <v>341</v>
      </c>
    </row>
    <row r="53" spans="2:7" ht="29" outlineLevel="1" x14ac:dyDescent="0.35">
      <c r="B53" s="77"/>
      <c r="C53" s="77"/>
      <c r="D53" s="2" t="s">
        <v>2580</v>
      </c>
      <c r="E53" s="2" t="s">
        <v>2586</v>
      </c>
      <c r="G53" s="82" t="s">
        <v>341</v>
      </c>
    </row>
    <row r="54" spans="2:7" ht="43.5" outlineLevel="1" x14ac:dyDescent="0.35">
      <c r="B54" s="77"/>
      <c r="C54" s="77"/>
      <c r="D54" s="2" t="s">
        <v>2581</v>
      </c>
      <c r="E54" s="2" t="s">
        <v>2587</v>
      </c>
      <c r="G54" s="82" t="s">
        <v>341</v>
      </c>
    </row>
    <row r="55" spans="2:7" ht="101.5" outlineLevel="1" x14ac:dyDescent="0.35">
      <c r="B55" s="77"/>
      <c r="C55" s="77"/>
      <c r="D55" s="2" t="s">
        <v>2582</v>
      </c>
      <c r="E55" s="2" t="s">
        <v>2588</v>
      </c>
      <c r="G55" s="82" t="s">
        <v>341</v>
      </c>
    </row>
    <row r="56" spans="2:7" ht="58" outlineLevel="1" x14ac:dyDescent="0.35">
      <c r="B56" s="77"/>
      <c r="C56" s="77"/>
      <c r="D56" s="2" t="s">
        <v>2583</v>
      </c>
      <c r="E56" s="2" t="s">
        <v>2589</v>
      </c>
      <c r="G56" s="82" t="s">
        <v>341</v>
      </c>
    </row>
    <row r="57" spans="2:7" ht="29" outlineLevel="1" x14ac:dyDescent="0.35">
      <c r="B57" s="77"/>
      <c r="C57" s="77"/>
      <c r="D57" s="2" t="s">
        <v>2584</v>
      </c>
      <c r="E57" s="2" t="s">
        <v>2590</v>
      </c>
      <c r="G57" s="82" t="s">
        <v>341</v>
      </c>
    </row>
    <row r="58" spans="2:7" x14ac:dyDescent="0.35">
      <c r="B58" s="77"/>
      <c r="D58" s="81" t="s">
        <v>2647</v>
      </c>
      <c r="E58" s="2"/>
      <c r="G58" s="78"/>
    </row>
    <row r="59" spans="2:7" outlineLevel="1" x14ac:dyDescent="0.35">
      <c r="B59" s="77"/>
      <c r="C59" s="77"/>
      <c r="D59" s="2" t="s">
        <v>2649</v>
      </c>
      <c r="E59" s="2" t="s">
        <v>2657</v>
      </c>
      <c r="G59" s="82" t="s">
        <v>341</v>
      </c>
    </row>
    <row r="60" spans="2:7" ht="29" outlineLevel="1" x14ac:dyDescent="0.35">
      <c r="B60" s="77"/>
      <c r="C60" s="77"/>
      <c r="D60" s="2" t="s">
        <v>2650</v>
      </c>
      <c r="E60" s="2" t="s">
        <v>2658</v>
      </c>
      <c r="G60" s="82" t="s">
        <v>341</v>
      </c>
    </row>
    <row r="61" spans="2:7" ht="43.5" outlineLevel="1" x14ac:dyDescent="0.35">
      <c r="B61" s="77"/>
      <c r="C61" s="77"/>
      <c r="D61" s="2" t="s">
        <v>2594</v>
      </c>
      <c r="E61" s="2" t="s">
        <v>2597</v>
      </c>
      <c r="G61" s="82" t="s">
        <v>341</v>
      </c>
    </row>
    <row r="62" spans="2:7" x14ac:dyDescent="0.35">
      <c r="B62" s="77"/>
      <c r="C62" s="77"/>
      <c r="D62" s="81" t="s">
        <v>2648</v>
      </c>
      <c r="E62" s="2"/>
      <c r="G62" s="78"/>
    </row>
    <row r="63" spans="2:7" outlineLevel="1" x14ac:dyDescent="0.35">
      <c r="B63" s="77"/>
      <c r="C63" s="77"/>
      <c r="D63" s="2" t="s">
        <v>2651</v>
      </c>
      <c r="E63" s="2" t="s">
        <v>2659</v>
      </c>
      <c r="G63" s="82" t="s">
        <v>341</v>
      </c>
    </row>
    <row r="64" spans="2:7" ht="43.5" outlineLevel="1" x14ac:dyDescent="0.35">
      <c r="B64" s="77"/>
      <c r="C64" s="77"/>
      <c r="D64" s="2" t="s">
        <v>2652</v>
      </c>
      <c r="E64" s="2" t="s">
        <v>2763</v>
      </c>
      <c r="G64" s="82" t="s">
        <v>341</v>
      </c>
    </row>
    <row r="65" spans="2:7" x14ac:dyDescent="0.35">
      <c r="B65" s="77"/>
      <c r="C65" s="77" t="s">
        <v>2501</v>
      </c>
      <c r="D65" s="77"/>
      <c r="E65" s="77"/>
      <c r="G65" s="80">
        <f>COUNTIF(G66:G85,"Yes")</f>
        <v>20</v>
      </c>
    </row>
    <row r="66" spans="2:7" ht="116" outlineLevel="1" x14ac:dyDescent="0.35">
      <c r="B66" s="77"/>
      <c r="C66" s="77"/>
      <c r="D66" s="2" t="s">
        <v>3672</v>
      </c>
      <c r="E66" s="2" t="s">
        <v>2980</v>
      </c>
      <c r="G66" s="82" t="s">
        <v>341</v>
      </c>
    </row>
    <row r="67" spans="2:7" ht="58" outlineLevel="1" x14ac:dyDescent="0.35">
      <c r="B67" s="77"/>
      <c r="C67" s="77"/>
      <c r="D67" s="2" t="s">
        <v>2845</v>
      </c>
      <c r="E67" s="2" t="s">
        <v>2568</v>
      </c>
      <c r="G67" s="82" t="s">
        <v>341</v>
      </c>
    </row>
    <row r="68" spans="2:7" ht="87" outlineLevel="1" x14ac:dyDescent="0.35">
      <c r="B68" s="77"/>
      <c r="C68" s="77"/>
      <c r="D68" s="2" t="s">
        <v>2502</v>
      </c>
      <c r="E68" s="2" t="s">
        <v>2513</v>
      </c>
      <c r="G68" s="82" t="s">
        <v>341</v>
      </c>
    </row>
    <row r="69" spans="2:7" ht="43.5" outlineLevel="1" x14ac:dyDescent="0.35">
      <c r="B69" s="77"/>
      <c r="C69" s="77"/>
      <c r="D69" s="2" t="s">
        <v>2503</v>
      </c>
      <c r="E69" s="2" t="s">
        <v>2514</v>
      </c>
      <c r="G69" s="82" t="s">
        <v>341</v>
      </c>
    </row>
    <row r="70" spans="2:7" outlineLevel="1" x14ac:dyDescent="0.35">
      <c r="B70" s="77"/>
      <c r="C70" s="77"/>
      <c r="D70" s="2" t="s">
        <v>2504</v>
      </c>
      <c r="E70" s="2" t="s">
        <v>2515</v>
      </c>
      <c r="G70" s="82" t="s">
        <v>341</v>
      </c>
    </row>
    <row r="71" spans="2:7" ht="58" outlineLevel="1" x14ac:dyDescent="0.35">
      <c r="B71" s="77"/>
      <c r="C71" s="77"/>
      <c r="D71" s="2" t="s">
        <v>3673</v>
      </c>
      <c r="E71" s="2" t="s">
        <v>2516</v>
      </c>
      <c r="G71" s="82" t="s">
        <v>341</v>
      </c>
    </row>
    <row r="72" spans="2:7" ht="29" outlineLevel="1" x14ac:dyDescent="0.35">
      <c r="B72" s="77"/>
      <c r="C72" s="77"/>
      <c r="D72" s="2" t="s">
        <v>2505</v>
      </c>
      <c r="E72" s="2" t="s">
        <v>2517</v>
      </c>
      <c r="G72" s="82" t="s">
        <v>341</v>
      </c>
    </row>
    <row r="73" spans="2:7" outlineLevel="1" x14ac:dyDescent="0.35">
      <c r="B73" s="77"/>
      <c r="C73" s="77"/>
      <c r="D73" s="2" t="s">
        <v>3674</v>
      </c>
      <c r="E73" s="2" t="s">
        <v>2518</v>
      </c>
      <c r="G73" s="82" t="s">
        <v>341</v>
      </c>
    </row>
    <row r="74" spans="2:7" ht="58" outlineLevel="1" x14ac:dyDescent="0.35">
      <c r="B74" s="77"/>
      <c r="C74" s="77"/>
      <c r="D74" s="2" t="s">
        <v>3675</v>
      </c>
      <c r="E74" s="2" t="s">
        <v>2519</v>
      </c>
      <c r="G74" s="82" t="s">
        <v>341</v>
      </c>
    </row>
    <row r="75" spans="2:7" ht="58" outlineLevel="1" x14ac:dyDescent="0.35">
      <c r="B75" s="77"/>
      <c r="C75" s="77"/>
      <c r="D75" s="2" t="s">
        <v>2506</v>
      </c>
      <c r="E75" s="2" t="s">
        <v>2520</v>
      </c>
      <c r="G75" s="82" t="s">
        <v>341</v>
      </c>
    </row>
    <row r="76" spans="2:7" ht="29" outlineLevel="1" x14ac:dyDescent="0.35">
      <c r="B76" s="77"/>
      <c r="C76" s="77"/>
      <c r="D76" s="2" t="s">
        <v>3676</v>
      </c>
      <c r="E76" s="2" t="s">
        <v>2521</v>
      </c>
      <c r="G76" s="82" t="s">
        <v>341</v>
      </c>
    </row>
    <row r="77" spans="2:7" ht="29" outlineLevel="1" x14ac:dyDescent="0.35">
      <c r="B77" s="77"/>
      <c r="C77" s="77"/>
      <c r="D77" s="2" t="s">
        <v>2507</v>
      </c>
      <c r="E77" s="2" t="s">
        <v>2522</v>
      </c>
      <c r="G77" s="82" t="s">
        <v>341</v>
      </c>
    </row>
    <row r="78" spans="2:7" ht="58" outlineLevel="1" x14ac:dyDescent="0.35">
      <c r="B78" s="77"/>
      <c r="D78" s="2" t="s">
        <v>2508</v>
      </c>
      <c r="E78" s="2" t="s">
        <v>2523</v>
      </c>
      <c r="G78" s="82" t="s">
        <v>341</v>
      </c>
    </row>
    <row r="79" spans="2:7" outlineLevel="1" x14ac:dyDescent="0.35">
      <c r="B79" s="77"/>
      <c r="C79" s="77"/>
      <c r="D79" s="2" t="s">
        <v>2509</v>
      </c>
      <c r="E79" s="2" t="s">
        <v>2524</v>
      </c>
      <c r="G79" s="82" t="s">
        <v>341</v>
      </c>
    </row>
    <row r="80" spans="2:7" ht="87" outlineLevel="1" x14ac:dyDescent="0.35">
      <c r="B80" s="77"/>
      <c r="C80" s="77"/>
      <c r="D80" s="2" t="s">
        <v>2510</v>
      </c>
      <c r="E80" s="2" t="s">
        <v>2525</v>
      </c>
      <c r="G80" s="82" t="s">
        <v>341</v>
      </c>
    </row>
    <row r="81" spans="2:7" ht="58" outlineLevel="1" x14ac:dyDescent="0.35">
      <c r="B81" s="77"/>
      <c r="C81" s="77"/>
      <c r="D81" s="2" t="s">
        <v>2511</v>
      </c>
      <c r="E81" s="2" t="s">
        <v>2526</v>
      </c>
      <c r="G81" s="82" t="s">
        <v>341</v>
      </c>
    </row>
    <row r="82" spans="2:7" ht="29" outlineLevel="1" x14ac:dyDescent="0.35">
      <c r="B82" s="77"/>
      <c r="C82" s="77"/>
      <c r="D82" s="2" t="s">
        <v>3677</v>
      </c>
      <c r="E82" s="2" t="s">
        <v>2527</v>
      </c>
      <c r="G82" s="82" t="s">
        <v>341</v>
      </c>
    </row>
    <row r="83" spans="2:7" ht="29" outlineLevel="1" x14ac:dyDescent="0.35">
      <c r="B83" s="77"/>
      <c r="C83" s="77"/>
      <c r="D83" s="2" t="s">
        <v>2678</v>
      </c>
      <c r="E83" s="2" t="s">
        <v>2679</v>
      </c>
      <c r="G83" s="82" t="s">
        <v>341</v>
      </c>
    </row>
    <row r="84" spans="2:7" outlineLevel="1" x14ac:dyDescent="0.35">
      <c r="B84" s="77"/>
      <c r="C84" s="77"/>
      <c r="D84" s="2" t="s">
        <v>2512</v>
      </c>
      <c r="E84" s="2" t="s">
        <v>2528</v>
      </c>
      <c r="G84" s="82" t="s">
        <v>341</v>
      </c>
    </row>
    <row r="85" spans="2:7" ht="116" outlineLevel="1" x14ac:dyDescent="0.35">
      <c r="B85" s="77"/>
      <c r="C85" s="77"/>
      <c r="D85" s="2" t="s">
        <v>3678</v>
      </c>
      <c r="E85" s="2" t="s">
        <v>2529</v>
      </c>
      <c r="G85" s="82" t="s">
        <v>341</v>
      </c>
    </row>
    <row r="86" spans="2:7" x14ac:dyDescent="0.35">
      <c r="B86" s="77"/>
      <c r="C86" s="77" t="s">
        <v>2591</v>
      </c>
      <c r="D86" s="77"/>
      <c r="E86" s="77"/>
      <c r="G86" s="80">
        <f>COUNTIF(G87:G89,"Yes")</f>
        <v>2</v>
      </c>
    </row>
    <row r="87" spans="2:7" ht="72.5" outlineLevel="1" x14ac:dyDescent="0.35">
      <c r="B87" s="77"/>
      <c r="C87" s="77"/>
      <c r="D87" s="2" t="s">
        <v>2592</v>
      </c>
      <c r="E87" s="2" t="s">
        <v>2595</v>
      </c>
      <c r="G87" s="82" t="s">
        <v>341</v>
      </c>
    </row>
    <row r="88" spans="2:7" ht="72.5" outlineLevel="1" x14ac:dyDescent="0.35">
      <c r="B88" s="77"/>
      <c r="C88" s="77"/>
      <c r="D88" s="2" t="s">
        <v>2593</v>
      </c>
      <c r="E88" s="2" t="s">
        <v>2596</v>
      </c>
      <c r="G88" s="82" t="s">
        <v>341</v>
      </c>
    </row>
    <row r="89" spans="2:7" x14ac:dyDescent="0.35">
      <c r="B89" s="77"/>
      <c r="C89" s="77" t="s">
        <v>2732</v>
      </c>
      <c r="D89" s="77"/>
      <c r="E89" s="77"/>
      <c r="G89" s="80">
        <f>COUNTIF(G90:G92,"Yes")</f>
        <v>2</v>
      </c>
    </row>
    <row r="90" spans="2:7" ht="29" outlineLevel="1" x14ac:dyDescent="0.35">
      <c r="B90" s="77"/>
      <c r="C90" s="77"/>
      <c r="D90" s="2" t="s">
        <v>2654</v>
      </c>
      <c r="E90" s="2" t="s">
        <v>2975</v>
      </c>
      <c r="G90" s="82" t="s">
        <v>341</v>
      </c>
    </row>
    <row r="91" spans="2:7" ht="116" outlineLevel="1" x14ac:dyDescent="0.35">
      <c r="B91" s="77"/>
      <c r="C91" s="77"/>
      <c r="D91" s="2" t="s">
        <v>2655</v>
      </c>
      <c r="E91" s="2" t="s">
        <v>2974</v>
      </c>
      <c r="G91" s="82" t="s">
        <v>341</v>
      </c>
    </row>
    <row r="92" spans="2:7" x14ac:dyDescent="0.35">
      <c r="B92" s="77"/>
      <c r="C92" s="77" t="s">
        <v>2733</v>
      </c>
      <c r="D92" s="77"/>
      <c r="E92" s="77"/>
      <c r="G92" s="80">
        <f>COUNTIF(G93:G95,"Yes")</f>
        <v>1</v>
      </c>
    </row>
    <row r="93" spans="2:7" ht="29" outlineLevel="1" x14ac:dyDescent="0.35">
      <c r="B93" s="77"/>
      <c r="C93" s="77"/>
      <c r="D93" s="2" t="s">
        <v>2653</v>
      </c>
      <c r="E93" s="2" t="s">
        <v>2978</v>
      </c>
      <c r="G93" s="82" t="s">
        <v>341</v>
      </c>
    </row>
  </sheetData>
  <mergeCells count="3">
    <mergeCell ref="B6:E6"/>
    <mergeCell ref="G3:G4"/>
    <mergeCell ref="B2:B4"/>
  </mergeCells>
  <dataValidations count="1">
    <dataValidation type="list" allowBlank="1" showInputMessage="1" showErrorMessage="1" sqref="G93 G19 G21:G24 G27:G35 G37 G66:G85 G11:G17 G87:G88 G90:G91 G39:G64" xr:uid="{00000000-0002-0000-1200-000000000000}">
      <formula1>"Yes, No"</formula1>
    </dataValidation>
  </dataValidation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rgb="FF293276"/>
  </sheetPr>
  <dimension ref="B1:G70"/>
  <sheetViews>
    <sheetView showGridLines="0" zoomScale="80" zoomScaleNormal="80" workbookViewId="0">
      <selection activeCell="C2" sqref="C2"/>
    </sheetView>
  </sheetViews>
  <sheetFormatPr defaultRowHeight="14.5" outlineLevelRow="1" x14ac:dyDescent="0.35"/>
  <cols>
    <col min="1" max="1" width="2.1796875" style="62" customWidth="1"/>
    <col min="2" max="3" width="30.6328125" style="62" customWidth="1"/>
    <col min="4" max="4" width="50.6328125" style="62" customWidth="1"/>
    <col min="5" max="5" width="76.6328125" style="62" customWidth="1"/>
    <col min="6" max="6" width="2.1796875" style="62" customWidth="1"/>
    <col min="7" max="7" width="9.1796875" style="62" customWidth="1"/>
    <col min="8" max="16384" width="8.7265625" style="62"/>
  </cols>
  <sheetData>
    <row r="1" spans="2:7" ht="18.5" customHeight="1" x14ac:dyDescent="0.35">
      <c r="B1" s="70"/>
    </row>
    <row r="2" spans="2:7" ht="14.5" customHeight="1" x14ac:dyDescent="0.35">
      <c r="B2" s="151"/>
      <c r="C2" s="151"/>
      <c r="D2" s="11" t="s">
        <v>41</v>
      </c>
      <c r="E2" s="11" t="s">
        <v>4745</v>
      </c>
      <c r="F2" s="79"/>
      <c r="G2" s="13" t="s">
        <v>342</v>
      </c>
    </row>
    <row r="3" spans="2:7" ht="14.5" customHeight="1" x14ac:dyDescent="0.35">
      <c r="B3" s="151"/>
      <c r="C3" s="151"/>
      <c r="D3" s="11" t="s">
        <v>226</v>
      </c>
      <c r="E3" s="11">
        <f>COUNTIF(E10:E70,"*")</f>
        <v>46</v>
      </c>
      <c r="F3" s="79"/>
      <c r="G3" s="185">
        <f>COUNTIF(G10:G70,"Yes")</f>
        <v>46</v>
      </c>
    </row>
    <row r="4" spans="2:7" ht="14.5" customHeight="1" x14ac:dyDescent="0.35">
      <c r="B4" s="151"/>
      <c r="C4" s="151"/>
      <c r="D4" s="15" t="s">
        <v>79</v>
      </c>
      <c r="E4" s="15" t="str">
        <f>'(12) Digital Engagement'!E4</f>
        <v>R25 Model Bank</v>
      </c>
      <c r="F4" s="79"/>
      <c r="G4" s="186"/>
    </row>
    <row r="5" spans="2:7" ht="18.5" customHeight="1" x14ac:dyDescent="0.35"/>
    <row r="6" spans="2:7" x14ac:dyDescent="0.35">
      <c r="B6" s="191"/>
      <c r="C6" s="192"/>
      <c r="D6" s="192"/>
      <c r="E6" s="192"/>
      <c r="F6" s="79"/>
      <c r="G6" s="18" t="s">
        <v>340</v>
      </c>
    </row>
    <row r="7" spans="2:7" x14ac:dyDescent="0.35">
      <c r="B7" s="75" t="s">
        <v>83</v>
      </c>
      <c r="C7" s="75" t="s">
        <v>86</v>
      </c>
      <c r="D7" s="75" t="s">
        <v>87</v>
      </c>
      <c r="E7" s="75" t="s">
        <v>54</v>
      </c>
      <c r="F7" s="79"/>
      <c r="G7" s="76" t="s">
        <v>342</v>
      </c>
    </row>
    <row r="8" spans="2:7" x14ac:dyDescent="0.35">
      <c r="B8" s="77" t="s">
        <v>4745</v>
      </c>
      <c r="C8" s="77"/>
      <c r="D8" s="2"/>
      <c r="E8" s="2"/>
      <c r="F8" s="79"/>
      <c r="G8" s="78"/>
    </row>
    <row r="9" spans="2:7" ht="29" collapsed="1" x14ac:dyDescent="0.35">
      <c r="B9" s="77"/>
      <c r="C9" s="77" t="s">
        <v>4746</v>
      </c>
      <c r="D9" s="2"/>
      <c r="E9" s="2"/>
      <c r="F9" s="79"/>
      <c r="G9" s="80">
        <f>COUNTIF(G10:G17,"Yes")</f>
        <v>8</v>
      </c>
    </row>
    <row r="10" spans="2:7" ht="87" outlineLevel="1" x14ac:dyDescent="0.35">
      <c r="B10" s="77"/>
      <c r="C10" s="139"/>
      <c r="D10" s="2" t="s">
        <v>4747</v>
      </c>
      <c r="E10" s="2" t="s">
        <v>4100</v>
      </c>
      <c r="F10" s="79"/>
      <c r="G10" s="82" t="s">
        <v>341</v>
      </c>
    </row>
    <row r="11" spans="2:7" ht="43.5" outlineLevel="1" x14ac:dyDescent="0.35">
      <c r="B11" s="77"/>
      <c r="C11" s="139"/>
      <c r="D11" s="2" t="s">
        <v>4748</v>
      </c>
      <c r="E11" s="2" t="s">
        <v>2387</v>
      </c>
      <c r="F11" s="79"/>
      <c r="G11" s="82" t="s">
        <v>341</v>
      </c>
    </row>
    <row r="12" spans="2:7" ht="29" outlineLevel="1" x14ac:dyDescent="0.35">
      <c r="B12" s="77"/>
      <c r="C12" s="139"/>
      <c r="D12" s="2" t="s">
        <v>4749</v>
      </c>
      <c r="E12" s="2" t="s">
        <v>4924</v>
      </c>
      <c r="F12" s="79"/>
      <c r="G12" s="82" t="s">
        <v>341</v>
      </c>
    </row>
    <row r="13" spans="2:7" ht="43.5" outlineLevel="1" x14ac:dyDescent="0.35">
      <c r="B13" s="77"/>
      <c r="C13" s="139"/>
      <c r="D13" s="2" t="s">
        <v>4750</v>
      </c>
      <c r="E13" s="2" t="s">
        <v>3240</v>
      </c>
      <c r="F13" s="79"/>
      <c r="G13" s="82" t="s">
        <v>341</v>
      </c>
    </row>
    <row r="14" spans="2:7" ht="29" outlineLevel="1" x14ac:dyDescent="0.35">
      <c r="B14" s="77"/>
      <c r="C14" s="139"/>
      <c r="D14" s="2" t="s">
        <v>4751</v>
      </c>
      <c r="E14" s="2" t="s">
        <v>3366</v>
      </c>
      <c r="F14" s="79"/>
      <c r="G14" s="82" t="s">
        <v>341</v>
      </c>
    </row>
    <row r="15" spans="2:7" ht="43.5" outlineLevel="1" x14ac:dyDescent="0.35">
      <c r="B15" s="77"/>
      <c r="C15" s="139"/>
      <c r="D15" s="2" t="s">
        <v>4752</v>
      </c>
      <c r="E15" s="2" t="s">
        <v>3367</v>
      </c>
      <c r="F15" s="79"/>
      <c r="G15" s="82" t="s">
        <v>341</v>
      </c>
    </row>
    <row r="16" spans="2:7" ht="174" outlineLevel="1" x14ac:dyDescent="0.35">
      <c r="B16" s="77"/>
      <c r="C16" s="139"/>
      <c r="D16" s="2" t="s">
        <v>5493</v>
      </c>
      <c r="E16" s="2" t="s">
        <v>5494</v>
      </c>
      <c r="F16" s="79"/>
      <c r="G16" s="82" t="s">
        <v>341</v>
      </c>
    </row>
    <row r="17" spans="2:7" ht="72.5" outlineLevel="1" x14ac:dyDescent="0.35">
      <c r="B17" s="77"/>
      <c r="C17" s="139"/>
      <c r="D17" s="2" t="s">
        <v>4890</v>
      </c>
      <c r="E17" s="2" t="s">
        <v>4891</v>
      </c>
      <c r="F17" s="79"/>
      <c r="G17" s="82" t="s">
        <v>341</v>
      </c>
    </row>
    <row r="18" spans="2:7" ht="29" x14ac:dyDescent="0.35">
      <c r="B18" s="77"/>
      <c r="C18" s="77" t="s">
        <v>4753</v>
      </c>
      <c r="D18" s="2"/>
      <c r="E18" s="2"/>
      <c r="F18" s="79"/>
      <c r="G18" s="80">
        <f>COUNTIF(G20:G21,"Yes")</f>
        <v>2</v>
      </c>
    </row>
    <row r="19" spans="2:7" x14ac:dyDescent="0.35">
      <c r="B19" s="77"/>
      <c r="C19" s="77"/>
      <c r="D19" s="81" t="s">
        <v>3078</v>
      </c>
      <c r="E19" s="2"/>
      <c r="F19" s="79"/>
      <c r="G19" s="78"/>
    </row>
    <row r="20" spans="2:7" ht="29" outlineLevel="1" x14ac:dyDescent="0.35">
      <c r="B20" s="77"/>
      <c r="C20" s="139"/>
      <c r="D20" s="2" t="s">
        <v>4754</v>
      </c>
      <c r="E20" s="2" t="s">
        <v>2760</v>
      </c>
      <c r="F20" s="79"/>
      <c r="G20" s="82" t="s">
        <v>341</v>
      </c>
    </row>
    <row r="21" spans="2:7" ht="29" outlineLevel="1" x14ac:dyDescent="0.35">
      <c r="B21" s="77"/>
      <c r="C21" s="139"/>
      <c r="D21" s="2" t="s">
        <v>4755</v>
      </c>
      <c r="E21" s="2" t="s">
        <v>2536</v>
      </c>
      <c r="F21" s="79"/>
      <c r="G21" s="82" t="s">
        <v>341</v>
      </c>
    </row>
    <row r="22" spans="2:7" ht="29" x14ac:dyDescent="0.35">
      <c r="B22" s="77"/>
      <c r="C22" s="77" t="s">
        <v>4756</v>
      </c>
      <c r="D22" s="2"/>
      <c r="E22" s="2"/>
      <c r="F22" s="79"/>
      <c r="G22" s="80">
        <f>COUNTIF(G24:G29,"Yes")</f>
        <v>5</v>
      </c>
    </row>
    <row r="23" spans="2:7" x14ac:dyDescent="0.35">
      <c r="B23" s="77"/>
      <c r="C23" s="77"/>
      <c r="D23" s="81" t="s">
        <v>3317</v>
      </c>
      <c r="E23" s="2"/>
      <c r="F23" s="79"/>
      <c r="G23" s="78"/>
    </row>
    <row r="24" spans="2:7" ht="29" outlineLevel="1" x14ac:dyDescent="0.35">
      <c r="B24" s="77"/>
      <c r="C24" s="139"/>
      <c r="D24" s="2" t="s">
        <v>4757</v>
      </c>
      <c r="E24" s="2" t="s">
        <v>3328</v>
      </c>
      <c r="F24" s="79"/>
      <c r="G24" s="82" t="s">
        <v>341</v>
      </c>
    </row>
    <row r="25" spans="2:7" ht="29" outlineLevel="1" x14ac:dyDescent="0.35">
      <c r="B25" s="77"/>
      <c r="C25" s="139"/>
      <c r="D25" s="2" t="s">
        <v>4758</v>
      </c>
      <c r="E25" s="2" t="s">
        <v>2940</v>
      </c>
      <c r="F25" s="79"/>
      <c r="G25" s="82" t="s">
        <v>341</v>
      </c>
    </row>
    <row r="26" spans="2:7" ht="29" outlineLevel="1" x14ac:dyDescent="0.35">
      <c r="B26" s="77"/>
      <c r="C26" s="139"/>
      <c r="D26" s="2" t="s">
        <v>4759</v>
      </c>
      <c r="E26" s="2" t="s">
        <v>2941</v>
      </c>
      <c r="F26" s="79"/>
      <c r="G26" s="82" t="s">
        <v>341</v>
      </c>
    </row>
    <row r="27" spans="2:7" ht="29" outlineLevel="1" x14ac:dyDescent="0.35">
      <c r="B27" s="77"/>
      <c r="C27" s="139"/>
      <c r="D27" s="2" t="s">
        <v>4760</v>
      </c>
      <c r="E27" s="2" t="s">
        <v>2886</v>
      </c>
      <c r="F27" s="79"/>
      <c r="G27" s="82" t="s">
        <v>341</v>
      </c>
    </row>
    <row r="28" spans="2:7" x14ac:dyDescent="0.35">
      <c r="B28" s="77"/>
      <c r="C28" s="77"/>
      <c r="D28" s="81" t="s">
        <v>3318</v>
      </c>
      <c r="E28" s="2"/>
      <c r="F28" s="79"/>
      <c r="G28" s="78"/>
    </row>
    <row r="29" spans="2:7" ht="43.5" outlineLevel="1" x14ac:dyDescent="0.35">
      <c r="B29" s="77"/>
      <c r="C29" s="139"/>
      <c r="D29" s="2" t="s">
        <v>4761</v>
      </c>
      <c r="E29" s="2" t="s">
        <v>3319</v>
      </c>
      <c r="F29" s="79"/>
      <c r="G29" s="82" t="s">
        <v>341</v>
      </c>
    </row>
    <row r="30" spans="2:7" ht="29" x14ac:dyDescent="0.35">
      <c r="B30" s="77"/>
      <c r="C30" s="77" t="s">
        <v>4762</v>
      </c>
      <c r="D30" s="2"/>
      <c r="E30" s="2"/>
      <c r="F30" s="79"/>
      <c r="G30" s="80">
        <f>COUNTIF(G32:G42,"Yes")</f>
        <v>10</v>
      </c>
    </row>
    <row r="31" spans="2:7" x14ac:dyDescent="0.35">
      <c r="B31" s="77"/>
      <c r="C31" s="77"/>
      <c r="D31" s="81" t="s">
        <v>3080</v>
      </c>
      <c r="E31" s="2"/>
      <c r="F31" s="79"/>
      <c r="G31" s="78"/>
    </row>
    <row r="32" spans="2:7" ht="43.5" outlineLevel="1" x14ac:dyDescent="0.35">
      <c r="B32" s="77"/>
      <c r="C32" s="139"/>
      <c r="D32" s="2" t="s">
        <v>4763</v>
      </c>
      <c r="E32" s="2" t="s">
        <v>4395</v>
      </c>
      <c r="F32" s="79"/>
      <c r="G32" s="82" t="s">
        <v>341</v>
      </c>
    </row>
    <row r="33" spans="2:7" ht="29" outlineLevel="1" x14ac:dyDescent="0.35">
      <c r="B33" s="77"/>
      <c r="C33" s="139"/>
      <c r="D33" s="2" t="s">
        <v>4764</v>
      </c>
      <c r="E33" s="2" t="s">
        <v>3035</v>
      </c>
      <c r="F33" s="79"/>
      <c r="G33" s="82" t="s">
        <v>341</v>
      </c>
    </row>
    <row r="34" spans="2:7" ht="29" outlineLevel="1" x14ac:dyDescent="0.35">
      <c r="B34" s="77"/>
      <c r="C34" s="139"/>
      <c r="D34" s="2" t="s">
        <v>4765</v>
      </c>
      <c r="E34" s="2" t="s">
        <v>3052</v>
      </c>
      <c r="F34" s="79"/>
      <c r="G34" s="82" t="s">
        <v>341</v>
      </c>
    </row>
    <row r="35" spans="2:7" ht="29" outlineLevel="1" x14ac:dyDescent="0.35">
      <c r="B35" s="77"/>
      <c r="C35" s="139"/>
      <c r="D35" s="2" t="s">
        <v>4766</v>
      </c>
      <c r="E35" s="2" t="s">
        <v>2801</v>
      </c>
      <c r="F35" s="79"/>
      <c r="G35" s="82" t="s">
        <v>341</v>
      </c>
    </row>
    <row r="36" spans="2:7" ht="29" outlineLevel="1" x14ac:dyDescent="0.35">
      <c r="B36" s="77"/>
      <c r="C36" s="139"/>
      <c r="D36" s="2" t="s">
        <v>4767</v>
      </c>
      <c r="E36" s="2" t="s">
        <v>4396</v>
      </c>
      <c r="F36" s="79"/>
      <c r="G36" s="82" t="s">
        <v>341</v>
      </c>
    </row>
    <row r="37" spans="2:7" outlineLevel="1" x14ac:dyDescent="0.35">
      <c r="B37" s="77"/>
      <c r="C37" s="139"/>
      <c r="D37" s="2" t="s">
        <v>4768</v>
      </c>
      <c r="E37" s="2" t="s">
        <v>4772</v>
      </c>
      <c r="F37" s="79"/>
      <c r="G37" s="82" t="s">
        <v>341</v>
      </c>
    </row>
    <row r="38" spans="2:7" ht="43.5" outlineLevel="1" x14ac:dyDescent="0.35">
      <c r="B38" s="77"/>
      <c r="C38" s="139"/>
      <c r="D38" s="2" t="s">
        <v>4769</v>
      </c>
      <c r="E38" s="2" t="s">
        <v>4397</v>
      </c>
      <c r="F38" s="79"/>
      <c r="G38" s="82" t="s">
        <v>341</v>
      </c>
    </row>
    <row r="39" spans="2:7" ht="29" outlineLevel="1" x14ac:dyDescent="0.35">
      <c r="B39" s="77"/>
      <c r="C39" s="139"/>
      <c r="D39" s="2" t="s">
        <v>4770</v>
      </c>
      <c r="E39" s="2" t="s">
        <v>3320</v>
      </c>
      <c r="F39" s="79"/>
      <c r="G39" s="82" t="s">
        <v>341</v>
      </c>
    </row>
    <row r="40" spans="2:7" ht="29" outlineLevel="1" x14ac:dyDescent="0.35">
      <c r="B40" s="77"/>
      <c r="C40" s="139"/>
      <c r="D40" s="2" t="s">
        <v>4771</v>
      </c>
      <c r="E40" s="2" t="s">
        <v>3059</v>
      </c>
      <c r="F40" s="79"/>
      <c r="G40" s="82" t="s">
        <v>341</v>
      </c>
    </row>
    <row r="41" spans="2:7" x14ac:dyDescent="0.35">
      <c r="B41" s="77"/>
      <c r="C41" s="77"/>
      <c r="D41" s="81" t="s">
        <v>3081</v>
      </c>
      <c r="E41" s="2"/>
      <c r="F41" s="79"/>
      <c r="G41" s="78"/>
    </row>
    <row r="42" spans="2:7" ht="30.5" customHeight="1" outlineLevel="1" x14ac:dyDescent="0.35">
      <c r="B42" s="77"/>
      <c r="C42" s="139"/>
      <c r="D42" s="2" t="s">
        <v>4795</v>
      </c>
      <c r="E42" s="2" t="s">
        <v>3079</v>
      </c>
      <c r="F42" s="79"/>
      <c r="G42" s="140" t="s">
        <v>341</v>
      </c>
    </row>
    <row r="43" spans="2:7" x14ac:dyDescent="0.35">
      <c r="B43" s="77"/>
      <c r="C43" s="77" t="s">
        <v>4773</v>
      </c>
      <c r="D43" s="2"/>
      <c r="E43" s="2"/>
      <c r="F43" s="79"/>
      <c r="G43" s="80">
        <f>COUNTIF(G45:G62,"Yes")</f>
        <v>16</v>
      </c>
    </row>
    <row r="44" spans="2:7" x14ac:dyDescent="0.35">
      <c r="B44" s="77"/>
      <c r="C44" s="77"/>
      <c r="D44" s="81" t="s">
        <v>4786</v>
      </c>
      <c r="E44" s="2"/>
      <c r="F44" s="79"/>
      <c r="G44" s="78"/>
    </row>
    <row r="45" spans="2:7" ht="29" outlineLevel="1" x14ac:dyDescent="0.35">
      <c r="B45" s="77"/>
      <c r="C45" s="139"/>
      <c r="D45" s="2" t="s">
        <v>4774</v>
      </c>
      <c r="E45" s="2" t="s">
        <v>2395</v>
      </c>
      <c r="F45" s="79"/>
      <c r="G45" s="82" t="s">
        <v>341</v>
      </c>
    </row>
    <row r="46" spans="2:7" ht="43.5" outlineLevel="1" x14ac:dyDescent="0.35">
      <c r="B46" s="77"/>
      <c r="C46" s="139"/>
      <c r="D46" s="2" t="s">
        <v>4775</v>
      </c>
      <c r="E46" s="2" t="s">
        <v>4373</v>
      </c>
      <c r="F46" s="79"/>
      <c r="G46" s="82" t="s">
        <v>341</v>
      </c>
    </row>
    <row r="47" spans="2:7" ht="43.5" outlineLevel="1" x14ac:dyDescent="0.35">
      <c r="B47" s="77"/>
      <c r="C47" s="139"/>
      <c r="D47" s="2" t="s">
        <v>4776</v>
      </c>
      <c r="E47" s="2" t="s">
        <v>4647</v>
      </c>
      <c r="F47" s="79"/>
      <c r="G47" s="82" t="s">
        <v>341</v>
      </c>
    </row>
    <row r="48" spans="2:7" ht="58" outlineLevel="1" x14ac:dyDescent="0.35">
      <c r="B48" s="77"/>
      <c r="C48" s="139"/>
      <c r="D48" s="2" t="s">
        <v>4777</v>
      </c>
      <c r="E48" s="2" t="s">
        <v>3970</v>
      </c>
      <c r="F48" s="79"/>
      <c r="G48" s="82" t="s">
        <v>341</v>
      </c>
    </row>
    <row r="49" spans="2:7" outlineLevel="1" x14ac:dyDescent="0.35">
      <c r="B49" s="77"/>
      <c r="C49" s="139"/>
      <c r="D49" s="2" t="s">
        <v>4778</v>
      </c>
      <c r="E49" s="2" t="s">
        <v>3033</v>
      </c>
      <c r="F49" s="79"/>
      <c r="G49" s="82" t="s">
        <v>341</v>
      </c>
    </row>
    <row r="50" spans="2:7" ht="29" outlineLevel="1" x14ac:dyDescent="0.35">
      <c r="B50" s="77"/>
      <c r="C50" s="139"/>
      <c r="D50" s="2" t="s">
        <v>4779</v>
      </c>
      <c r="E50" s="2" t="s">
        <v>2605</v>
      </c>
      <c r="F50" s="79"/>
      <c r="G50" s="82" t="s">
        <v>341</v>
      </c>
    </row>
    <row r="51" spans="2:7" ht="58" outlineLevel="1" x14ac:dyDescent="0.35">
      <c r="B51" s="77"/>
      <c r="C51" s="139"/>
      <c r="D51" s="2" t="s">
        <v>4780</v>
      </c>
      <c r="E51" s="2" t="s">
        <v>4101</v>
      </c>
      <c r="F51" s="79"/>
      <c r="G51" s="82" t="s">
        <v>341</v>
      </c>
    </row>
    <row r="52" spans="2:7" ht="29" outlineLevel="1" x14ac:dyDescent="0.35">
      <c r="B52" s="77"/>
      <c r="C52" s="139"/>
      <c r="D52" s="2" t="s">
        <v>4781</v>
      </c>
      <c r="E52" s="2" t="s">
        <v>2761</v>
      </c>
      <c r="F52" s="79"/>
      <c r="G52" s="82" t="s">
        <v>341</v>
      </c>
    </row>
    <row r="53" spans="2:7" ht="29" outlineLevel="1" x14ac:dyDescent="0.35">
      <c r="B53" s="77"/>
      <c r="C53" s="139"/>
      <c r="D53" s="2" t="s">
        <v>4782</v>
      </c>
      <c r="E53" s="2" t="s">
        <v>3034</v>
      </c>
      <c r="F53" s="79"/>
      <c r="G53" s="82" t="s">
        <v>341</v>
      </c>
    </row>
    <row r="54" spans="2:7" ht="29" outlineLevel="1" x14ac:dyDescent="0.35">
      <c r="B54" s="77"/>
      <c r="C54" s="139"/>
      <c r="D54" s="2" t="s">
        <v>4783</v>
      </c>
      <c r="E54" s="2" t="s">
        <v>3689</v>
      </c>
      <c r="F54" s="79"/>
      <c r="G54" s="82" t="s">
        <v>341</v>
      </c>
    </row>
    <row r="55" spans="2:7" ht="29" outlineLevel="1" x14ac:dyDescent="0.35">
      <c r="B55" s="77"/>
      <c r="C55" s="139"/>
      <c r="D55" s="2" t="s">
        <v>4784</v>
      </c>
      <c r="E55" s="2" t="s">
        <v>2322</v>
      </c>
      <c r="F55" s="79"/>
      <c r="G55" s="82" t="s">
        <v>341</v>
      </c>
    </row>
    <row r="56" spans="2:7" ht="43.5" outlineLevel="1" x14ac:dyDescent="0.35">
      <c r="B56" s="77"/>
      <c r="C56" s="139"/>
      <c r="D56" s="2" t="s">
        <v>4785</v>
      </c>
      <c r="E56" s="2" t="s">
        <v>3047</v>
      </c>
      <c r="F56" s="79"/>
      <c r="G56" s="82" t="s">
        <v>341</v>
      </c>
    </row>
    <row r="57" spans="2:7" x14ac:dyDescent="0.35">
      <c r="B57" s="77"/>
      <c r="C57" s="77"/>
      <c r="D57" s="81" t="s">
        <v>4787</v>
      </c>
      <c r="E57" s="2"/>
      <c r="F57" s="79"/>
      <c r="G57" s="78"/>
    </row>
    <row r="58" spans="2:7" ht="30.5" customHeight="1" outlineLevel="1" x14ac:dyDescent="0.35">
      <c r="B58" s="77"/>
      <c r="C58" s="139"/>
      <c r="D58" s="2" t="s">
        <v>4788</v>
      </c>
      <c r="E58" s="2" t="s">
        <v>3079</v>
      </c>
      <c r="F58" s="79"/>
      <c r="G58" s="140" t="s">
        <v>341</v>
      </c>
    </row>
    <row r="59" spans="2:7" x14ac:dyDescent="0.35">
      <c r="B59" s="77"/>
      <c r="C59" s="77"/>
      <c r="D59" s="81" t="s">
        <v>4789</v>
      </c>
      <c r="E59" s="2"/>
      <c r="F59" s="79"/>
      <c r="G59" s="78"/>
    </row>
    <row r="60" spans="2:7" ht="30.5" customHeight="1" outlineLevel="1" x14ac:dyDescent="0.35">
      <c r="B60" s="77"/>
      <c r="C60" s="139"/>
      <c r="D60" s="2" t="s">
        <v>4790</v>
      </c>
      <c r="E60" s="2" t="s">
        <v>2731</v>
      </c>
      <c r="F60" s="79"/>
      <c r="G60" s="140" t="s">
        <v>341</v>
      </c>
    </row>
    <row r="61" spans="2:7" ht="30.5" customHeight="1" outlineLevel="1" x14ac:dyDescent="0.35">
      <c r="B61" s="77"/>
      <c r="C61" s="139"/>
      <c r="D61" s="2" t="s">
        <v>4791</v>
      </c>
      <c r="E61" s="2" t="s">
        <v>2671</v>
      </c>
      <c r="F61" s="79"/>
      <c r="G61" s="140" t="s">
        <v>341</v>
      </c>
    </row>
    <row r="62" spans="2:7" ht="30.5" customHeight="1" outlineLevel="1" x14ac:dyDescent="0.35">
      <c r="B62" s="77"/>
      <c r="C62" s="139"/>
      <c r="D62" s="2" t="s">
        <v>4792</v>
      </c>
      <c r="E62" s="2" t="s">
        <v>3046</v>
      </c>
      <c r="F62" s="79"/>
      <c r="G62" s="140" t="s">
        <v>341</v>
      </c>
    </row>
    <row r="63" spans="2:7" ht="29" x14ac:dyDescent="0.35">
      <c r="B63" s="77"/>
      <c r="C63" s="77" t="s">
        <v>4845</v>
      </c>
      <c r="D63" s="2"/>
      <c r="E63" s="2"/>
      <c r="F63" s="79"/>
      <c r="G63" s="80">
        <f>COUNTIF(G64:G66,"Yes")</f>
        <v>3</v>
      </c>
    </row>
    <row r="64" spans="2:7" ht="43.5" outlineLevel="1" x14ac:dyDescent="0.35">
      <c r="B64" s="77"/>
      <c r="C64" s="139"/>
      <c r="D64" s="2" t="s">
        <v>4846</v>
      </c>
      <c r="E64" s="2" t="s">
        <v>4848</v>
      </c>
      <c r="F64" s="79"/>
      <c r="G64" s="82" t="s">
        <v>341</v>
      </c>
    </row>
    <row r="65" spans="2:7" ht="203" outlineLevel="1" x14ac:dyDescent="0.35">
      <c r="B65" s="77"/>
      <c r="C65" s="139"/>
      <c r="D65" s="2" t="s">
        <v>5661</v>
      </c>
      <c r="E65" s="2" t="s">
        <v>5662</v>
      </c>
      <c r="F65" s="79"/>
      <c r="G65" s="82" t="s">
        <v>341</v>
      </c>
    </row>
    <row r="66" spans="2:7" ht="43.5" outlineLevel="1" x14ac:dyDescent="0.35">
      <c r="B66" s="77"/>
      <c r="C66" s="139"/>
      <c r="D66" s="2" t="s">
        <v>4847</v>
      </c>
      <c r="E66" s="2" t="s">
        <v>4849</v>
      </c>
      <c r="F66" s="79"/>
      <c r="G66" s="82" t="s">
        <v>341</v>
      </c>
    </row>
    <row r="67" spans="2:7" ht="29" x14ac:dyDescent="0.35">
      <c r="B67" s="77"/>
      <c r="C67" s="77" t="s">
        <v>4793</v>
      </c>
      <c r="D67" s="2"/>
      <c r="E67" s="2"/>
      <c r="F67" s="79"/>
      <c r="G67" s="80">
        <f>COUNTIF(G68:G68,"Yes")</f>
        <v>1</v>
      </c>
    </row>
    <row r="68" spans="2:7" ht="43.5" outlineLevel="1" x14ac:dyDescent="0.35">
      <c r="B68" s="77"/>
      <c r="C68" s="139"/>
      <c r="D68" s="2" t="s">
        <v>4794</v>
      </c>
      <c r="E68" s="2" t="s">
        <v>4923</v>
      </c>
      <c r="F68" s="79"/>
      <c r="G68" s="82" t="s">
        <v>341</v>
      </c>
    </row>
    <row r="69" spans="2:7" x14ac:dyDescent="0.35">
      <c r="B69" s="77"/>
      <c r="C69" s="77" t="s">
        <v>5496</v>
      </c>
      <c r="D69" s="2"/>
      <c r="E69" s="2"/>
      <c r="F69" s="79"/>
      <c r="G69" s="80">
        <f>COUNTIF(G70:G75,"Yes")</f>
        <v>1</v>
      </c>
    </row>
    <row r="70" spans="2:7" ht="72.5" outlineLevel="1" x14ac:dyDescent="0.35">
      <c r="B70" s="77"/>
      <c r="C70" s="139"/>
      <c r="D70" s="2" t="s">
        <v>5495</v>
      </c>
      <c r="E70" s="2" t="s">
        <v>5497</v>
      </c>
      <c r="F70" s="79"/>
      <c r="G70" s="82" t="s">
        <v>341</v>
      </c>
    </row>
  </sheetData>
  <sortState xmlns:xlrd2="http://schemas.microsoft.com/office/spreadsheetml/2017/richdata2" ref="D28:E32">
    <sortCondition ref="D28"/>
  </sortState>
  <mergeCells count="2">
    <mergeCell ref="B6:E6"/>
    <mergeCell ref="G3:G4"/>
  </mergeCells>
  <dataValidations count="1">
    <dataValidation type="list" allowBlank="1" showInputMessage="1" showErrorMessage="1" sqref="G10:G17 G24:G29 G42 G20:G21 G32:G40 G45:G56 G58 G68 G60:G62 G70 G64:G66" xr:uid="{00000000-0002-0000-1300-000000000000}">
      <formula1>"Yes, No"</formula1>
    </dataValidation>
  </dataValidation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293276"/>
  </sheetPr>
  <dimension ref="B1:G94"/>
  <sheetViews>
    <sheetView showGridLines="0" zoomScale="80" zoomScaleNormal="80" workbookViewId="0">
      <selection activeCell="C2" sqref="C2"/>
    </sheetView>
  </sheetViews>
  <sheetFormatPr defaultRowHeight="14.5" outlineLevelRow="1" x14ac:dyDescent="0.35"/>
  <cols>
    <col min="1" max="1" width="2.1796875" style="62" customWidth="1"/>
    <col min="2" max="3" width="30.6328125" style="62" customWidth="1"/>
    <col min="4" max="4" width="50.6328125" style="62" customWidth="1"/>
    <col min="5" max="5" width="76.6328125" style="62" customWidth="1"/>
    <col min="6" max="6" width="2.1796875" style="62" customWidth="1"/>
    <col min="7" max="7" width="9.1796875" style="62" customWidth="1"/>
    <col min="8" max="16384" width="8.7265625" style="62"/>
  </cols>
  <sheetData>
    <row r="1" spans="2:7" x14ac:dyDescent="0.35">
      <c r="B1" s="70"/>
    </row>
    <row r="2" spans="2:7" x14ac:dyDescent="0.35">
      <c r="B2" s="151"/>
      <c r="C2" s="151"/>
      <c r="D2" s="11" t="s">
        <v>41</v>
      </c>
      <c r="E2" s="11" t="s">
        <v>3262</v>
      </c>
      <c r="F2" s="79"/>
      <c r="G2" s="13" t="s">
        <v>342</v>
      </c>
    </row>
    <row r="3" spans="2:7" x14ac:dyDescent="0.35">
      <c r="B3" s="151"/>
      <c r="C3" s="151"/>
      <c r="D3" s="11" t="s">
        <v>226</v>
      </c>
      <c r="E3" s="11">
        <f>COUNTIF(E8:E94,"*")</f>
        <v>75</v>
      </c>
      <c r="F3" s="79"/>
      <c r="G3" s="185">
        <f>COUNTIF(G8:G94,"Yes")</f>
        <v>75</v>
      </c>
    </row>
    <row r="4" spans="2:7" x14ac:dyDescent="0.35">
      <c r="B4" s="151"/>
      <c r="C4" s="151"/>
      <c r="D4" s="15" t="s">
        <v>79</v>
      </c>
      <c r="E4" s="15" t="str">
        <f>'(8) Financial Accounting'!E4</f>
        <v>R25 Model Bank</v>
      </c>
      <c r="F4" s="79"/>
      <c r="G4" s="186"/>
    </row>
    <row r="6" spans="2:7" x14ac:dyDescent="0.35">
      <c r="B6" s="191"/>
      <c r="C6" s="192"/>
      <c r="D6" s="192"/>
      <c r="E6" s="192"/>
      <c r="F6" s="79"/>
      <c r="G6" s="18" t="s">
        <v>340</v>
      </c>
    </row>
    <row r="7" spans="2:7" x14ac:dyDescent="0.35">
      <c r="B7" s="75" t="s">
        <v>83</v>
      </c>
      <c r="C7" s="75" t="s">
        <v>86</v>
      </c>
      <c r="D7" s="75" t="s">
        <v>87</v>
      </c>
      <c r="E7" s="75" t="s">
        <v>54</v>
      </c>
      <c r="F7" s="79"/>
      <c r="G7" s="76" t="s">
        <v>342</v>
      </c>
    </row>
    <row r="8" spans="2:7" ht="29" x14ac:dyDescent="0.35">
      <c r="B8" s="77" t="s">
        <v>3262</v>
      </c>
      <c r="C8" s="77"/>
      <c r="D8" s="2"/>
      <c r="E8" s="2"/>
      <c r="F8" s="79"/>
      <c r="G8" s="78"/>
    </row>
    <row r="9" spans="2:7" ht="29" collapsed="1" x14ac:dyDescent="0.35">
      <c r="B9" s="77"/>
      <c r="C9" s="77" t="s">
        <v>3369</v>
      </c>
      <c r="D9" s="2"/>
      <c r="E9" s="2"/>
      <c r="F9" s="79"/>
      <c r="G9" s="80">
        <f>COUNTIF(G10:G18,"Yes")</f>
        <v>9</v>
      </c>
    </row>
    <row r="10" spans="2:7" outlineLevel="1" x14ac:dyDescent="0.35">
      <c r="B10" s="77"/>
      <c r="C10" s="139"/>
      <c r="D10" s="2" t="s">
        <v>3243</v>
      </c>
      <c r="E10" s="2" t="s">
        <v>3260</v>
      </c>
      <c r="F10" s="79"/>
      <c r="G10" s="82" t="s">
        <v>341</v>
      </c>
    </row>
    <row r="11" spans="2:7" ht="29" outlineLevel="1" x14ac:dyDescent="0.35">
      <c r="B11" s="77"/>
      <c r="C11" s="139"/>
      <c r="D11" s="2" t="s">
        <v>3309</v>
      </c>
      <c r="E11" s="2" t="s">
        <v>3313</v>
      </c>
      <c r="F11" s="79"/>
      <c r="G11" s="82" t="s">
        <v>341</v>
      </c>
    </row>
    <row r="12" spans="2:7" ht="43.5" outlineLevel="1" x14ac:dyDescent="0.35">
      <c r="B12" s="77"/>
      <c r="C12" s="139"/>
      <c r="D12" s="2" t="s">
        <v>3244</v>
      </c>
      <c r="E12" s="2" t="s">
        <v>3247</v>
      </c>
      <c r="F12" s="79"/>
      <c r="G12" s="82" t="s">
        <v>341</v>
      </c>
    </row>
    <row r="13" spans="2:7" outlineLevel="1" x14ac:dyDescent="0.35">
      <c r="B13" s="77"/>
      <c r="C13" s="139"/>
      <c r="D13" s="2" t="s">
        <v>3245</v>
      </c>
      <c r="E13" s="2" t="s">
        <v>3248</v>
      </c>
      <c r="F13" s="79"/>
      <c r="G13" s="82" t="s">
        <v>341</v>
      </c>
    </row>
    <row r="14" spans="2:7" ht="43.5" outlineLevel="1" x14ac:dyDescent="0.35">
      <c r="B14" s="77"/>
      <c r="C14" s="139"/>
      <c r="D14" s="2" t="s">
        <v>3310</v>
      </c>
      <c r="E14" s="2" t="s">
        <v>3314</v>
      </c>
      <c r="F14" s="79"/>
      <c r="G14" s="82" t="s">
        <v>341</v>
      </c>
    </row>
    <row r="15" spans="2:7" ht="43.5" outlineLevel="1" x14ac:dyDescent="0.35">
      <c r="B15" s="77"/>
      <c r="C15" s="139"/>
      <c r="D15" s="2" t="s">
        <v>3311</v>
      </c>
      <c r="E15" s="2" t="s">
        <v>3315</v>
      </c>
      <c r="F15" s="79"/>
      <c r="G15" s="82" t="s">
        <v>341</v>
      </c>
    </row>
    <row r="16" spans="2:7" outlineLevel="1" x14ac:dyDescent="0.35">
      <c r="B16" s="77"/>
      <c r="C16" s="139"/>
      <c r="D16" s="2" t="s">
        <v>3312</v>
      </c>
      <c r="E16" s="2" t="s">
        <v>3316</v>
      </c>
      <c r="F16" s="79"/>
      <c r="G16" s="82" t="s">
        <v>341</v>
      </c>
    </row>
    <row r="17" spans="2:7" ht="29" outlineLevel="1" x14ac:dyDescent="0.35">
      <c r="B17" s="77"/>
      <c r="C17" s="139"/>
      <c r="D17" s="2" t="s">
        <v>3246</v>
      </c>
      <c r="E17" s="2" t="s">
        <v>3249</v>
      </c>
      <c r="F17" s="79"/>
      <c r="G17" s="82" t="s">
        <v>341</v>
      </c>
    </row>
    <row r="18" spans="2:7" outlineLevel="1" x14ac:dyDescent="0.35">
      <c r="B18" s="77"/>
      <c r="C18" s="139"/>
      <c r="D18" s="2" t="s">
        <v>3364</v>
      </c>
      <c r="E18" s="2" t="s">
        <v>3365</v>
      </c>
      <c r="F18" s="79"/>
      <c r="G18" s="82" t="s">
        <v>341</v>
      </c>
    </row>
    <row r="19" spans="2:7" ht="29" x14ac:dyDescent="0.35">
      <c r="B19" s="77"/>
      <c r="C19" s="77" t="s">
        <v>3864</v>
      </c>
      <c r="D19" s="2"/>
      <c r="E19" s="2"/>
      <c r="F19" s="79"/>
      <c r="G19" s="80">
        <f>COUNTIF(G21:G61,"Yes")</f>
        <v>36</v>
      </c>
    </row>
    <row r="20" spans="2:7" x14ac:dyDescent="0.35">
      <c r="B20" s="77"/>
      <c r="C20" s="77"/>
      <c r="D20" s="81" t="s">
        <v>3884</v>
      </c>
      <c r="E20" s="2"/>
      <c r="F20" s="79"/>
      <c r="G20" s="78"/>
    </row>
    <row r="21" spans="2:7" ht="29" outlineLevel="1" x14ac:dyDescent="0.35">
      <c r="B21" s="77"/>
      <c r="C21" s="139"/>
      <c r="D21" s="2" t="s">
        <v>3855</v>
      </c>
      <c r="E21" s="2" t="s">
        <v>3374</v>
      </c>
      <c r="F21" s="79"/>
      <c r="G21" s="82" t="s">
        <v>341</v>
      </c>
    </row>
    <row r="22" spans="2:7" ht="29" outlineLevel="1" x14ac:dyDescent="0.35">
      <c r="B22" s="77"/>
      <c r="C22" s="139"/>
      <c r="D22" s="2" t="s">
        <v>3856</v>
      </c>
      <c r="E22" s="2" t="s">
        <v>3894</v>
      </c>
      <c r="F22" s="79"/>
      <c r="G22" s="82" t="s">
        <v>341</v>
      </c>
    </row>
    <row r="23" spans="2:7" ht="29" outlineLevel="1" x14ac:dyDescent="0.35">
      <c r="B23" s="77"/>
      <c r="C23" s="139"/>
      <c r="D23" s="2" t="s">
        <v>3857</v>
      </c>
      <c r="E23" s="2" t="s">
        <v>3899</v>
      </c>
      <c r="F23" s="79"/>
      <c r="G23" s="82" t="s">
        <v>341</v>
      </c>
    </row>
    <row r="24" spans="2:7" ht="29" outlineLevel="1" x14ac:dyDescent="0.35">
      <c r="B24" s="77"/>
      <c r="C24" s="139"/>
      <c r="D24" s="2" t="s">
        <v>3858</v>
      </c>
      <c r="E24" s="2" t="s">
        <v>3375</v>
      </c>
      <c r="F24" s="79"/>
      <c r="G24" s="82" t="s">
        <v>341</v>
      </c>
    </row>
    <row r="25" spans="2:7" ht="29" outlineLevel="1" x14ac:dyDescent="0.35">
      <c r="B25" s="77"/>
      <c r="C25" s="139"/>
      <c r="D25" s="2" t="s">
        <v>3859</v>
      </c>
      <c r="E25" s="2" t="s">
        <v>3376</v>
      </c>
      <c r="F25" s="79"/>
      <c r="G25" s="82" t="s">
        <v>341</v>
      </c>
    </row>
    <row r="26" spans="2:7" ht="29" outlineLevel="1" x14ac:dyDescent="0.35">
      <c r="B26" s="77"/>
      <c r="C26" s="139"/>
      <c r="D26" s="2" t="s">
        <v>3860</v>
      </c>
      <c r="E26" s="2" t="s">
        <v>3377</v>
      </c>
      <c r="F26" s="79"/>
      <c r="G26" s="82" t="s">
        <v>341</v>
      </c>
    </row>
    <row r="27" spans="2:7" ht="43.5" outlineLevel="1" x14ac:dyDescent="0.35">
      <c r="B27" s="77"/>
      <c r="C27" s="139"/>
      <c r="D27" s="2" t="s">
        <v>3861</v>
      </c>
      <c r="E27" s="2" t="s">
        <v>3378</v>
      </c>
      <c r="F27" s="79"/>
      <c r="G27" s="82" t="s">
        <v>341</v>
      </c>
    </row>
    <row r="28" spans="2:7" outlineLevel="1" x14ac:dyDescent="0.35">
      <c r="B28" s="77"/>
      <c r="C28" s="139"/>
      <c r="D28" s="2" t="s">
        <v>3862</v>
      </c>
      <c r="E28" s="2" t="s">
        <v>3379</v>
      </c>
      <c r="F28" s="79"/>
      <c r="G28" s="82" t="s">
        <v>341</v>
      </c>
    </row>
    <row r="29" spans="2:7" ht="29" outlineLevel="1" x14ac:dyDescent="0.35">
      <c r="B29" s="77"/>
      <c r="C29" s="139"/>
      <c r="D29" s="2" t="s">
        <v>3863</v>
      </c>
      <c r="E29" s="2" t="s">
        <v>3380</v>
      </c>
      <c r="F29" s="79"/>
      <c r="G29" s="82" t="s">
        <v>341</v>
      </c>
    </row>
    <row r="30" spans="2:7" x14ac:dyDescent="0.35">
      <c r="B30" s="77"/>
      <c r="C30" s="77"/>
      <c r="D30" s="81" t="s">
        <v>3865</v>
      </c>
      <c r="E30" s="2"/>
      <c r="F30" s="79"/>
      <c r="G30" s="78"/>
    </row>
    <row r="31" spans="2:7" ht="29" outlineLevel="1" x14ac:dyDescent="0.35">
      <c r="B31" s="77"/>
      <c r="C31" s="139"/>
      <c r="D31" s="2" t="s">
        <v>3866</v>
      </c>
      <c r="E31" s="2" t="s">
        <v>3867</v>
      </c>
      <c r="F31" s="79"/>
      <c r="G31" s="82" t="s">
        <v>341</v>
      </c>
    </row>
    <row r="32" spans="2:7" ht="29" outlineLevel="1" x14ac:dyDescent="0.35">
      <c r="B32" s="77"/>
      <c r="C32" s="139"/>
      <c r="D32" s="2" t="s">
        <v>3868</v>
      </c>
      <c r="E32" s="2" t="s">
        <v>4149</v>
      </c>
      <c r="F32" s="79"/>
      <c r="G32" s="82" t="s">
        <v>341</v>
      </c>
    </row>
    <row r="33" spans="2:7" ht="29" outlineLevel="1" x14ac:dyDescent="0.35">
      <c r="B33" s="77"/>
      <c r="C33" s="139"/>
      <c r="D33" s="2" t="s">
        <v>3869</v>
      </c>
      <c r="E33" s="2" t="s">
        <v>3870</v>
      </c>
      <c r="F33" s="79"/>
      <c r="G33" s="82" t="s">
        <v>341</v>
      </c>
    </row>
    <row r="34" spans="2:7" outlineLevel="1" x14ac:dyDescent="0.35">
      <c r="B34" s="77"/>
      <c r="C34" s="139"/>
      <c r="D34" s="2" t="s">
        <v>3871</v>
      </c>
      <c r="E34" s="2" t="s">
        <v>3872</v>
      </c>
      <c r="F34" s="79"/>
      <c r="G34" s="82" t="s">
        <v>341</v>
      </c>
    </row>
    <row r="35" spans="2:7" outlineLevel="1" x14ac:dyDescent="0.35">
      <c r="B35" s="77"/>
      <c r="C35" s="139"/>
      <c r="D35" s="2" t="s">
        <v>3873</v>
      </c>
      <c r="E35" s="2" t="s">
        <v>3874</v>
      </c>
      <c r="F35" s="79"/>
      <c r="G35" s="82" t="s">
        <v>341</v>
      </c>
    </row>
    <row r="36" spans="2:7" outlineLevel="1" x14ac:dyDescent="0.35">
      <c r="B36" s="77"/>
      <c r="C36" s="139"/>
      <c r="D36" s="2" t="s">
        <v>3875</v>
      </c>
      <c r="E36" s="2" t="s">
        <v>3876</v>
      </c>
      <c r="F36" s="79"/>
      <c r="G36" s="82" t="s">
        <v>341</v>
      </c>
    </row>
    <row r="37" spans="2:7" outlineLevel="1" x14ac:dyDescent="0.35">
      <c r="B37" s="77"/>
      <c r="C37" s="139"/>
      <c r="D37" s="2" t="s">
        <v>3877</v>
      </c>
      <c r="E37" s="2" t="s">
        <v>3878</v>
      </c>
      <c r="F37" s="79"/>
      <c r="G37" s="82" t="s">
        <v>341</v>
      </c>
    </row>
    <row r="38" spans="2:7" ht="29" outlineLevel="1" x14ac:dyDescent="0.35">
      <c r="B38" s="77"/>
      <c r="C38" s="139"/>
      <c r="D38" s="2" t="s">
        <v>3879</v>
      </c>
      <c r="E38" s="2" t="s">
        <v>4008</v>
      </c>
      <c r="F38" s="79"/>
      <c r="G38" s="82" t="s">
        <v>341</v>
      </c>
    </row>
    <row r="39" spans="2:7" outlineLevel="1" x14ac:dyDescent="0.35">
      <c r="B39" s="77"/>
      <c r="C39" s="139"/>
      <c r="D39" s="2" t="s">
        <v>3880</v>
      </c>
      <c r="E39" s="2" t="s">
        <v>4011</v>
      </c>
      <c r="F39" s="79"/>
      <c r="G39" s="82" t="s">
        <v>341</v>
      </c>
    </row>
    <row r="40" spans="2:7" ht="29" outlineLevel="1" x14ac:dyDescent="0.35">
      <c r="B40" s="77"/>
      <c r="C40" s="139"/>
      <c r="D40" s="2" t="s">
        <v>3881</v>
      </c>
      <c r="E40" s="2" t="s">
        <v>3882</v>
      </c>
      <c r="F40" s="79"/>
      <c r="G40" s="82" t="s">
        <v>341</v>
      </c>
    </row>
    <row r="41" spans="2:7" ht="29" outlineLevel="1" x14ac:dyDescent="0.35">
      <c r="B41" s="77"/>
      <c r="C41" s="139"/>
      <c r="D41" s="2" t="s">
        <v>3883</v>
      </c>
      <c r="E41" s="2" t="s">
        <v>4046</v>
      </c>
      <c r="F41" s="79"/>
      <c r="G41" s="82" t="s">
        <v>341</v>
      </c>
    </row>
    <row r="42" spans="2:7" x14ac:dyDescent="0.35">
      <c r="B42" s="77"/>
      <c r="C42" s="77"/>
      <c r="D42" s="81" t="s">
        <v>4075</v>
      </c>
      <c r="E42" s="2"/>
      <c r="F42" s="79"/>
      <c r="G42" s="78"/>
    </row>
    <row r="43" spans="2:7" ht="43.5" outlineLevel="1" x14ac:dyDescent="0.35">
      <c r="B43" s="77"/>
      <c r="C43" s="139"/>
      <c r="D43" s="2" t="s">
        <v>4057</v>
      </c>
      <c r="E43" s="2" t="s">
        <v>4059</v>
      </c>
      <c r="F43" s="79"/>
      <c r="G43" s="82" t="s">
        <v>341</v>
      </c>
    </row>
    <row r="44" spans="2:7" ht="29" outlineLevel="1" x14ac:dyDescent="0.35">
      <c r="B44" s="77"/>
      <c r="C44" s="139"/>
      <c r="D44" s="2" t="s">
        <v>4058</v>
      </c>
      <c r="E44" s="2" t="s">
        <v>4060</v>
      </c>
      <c r="F44" s="79"/>
      <c r="G44" s="82" t="s">
        <v>341</v>
      </c>
    </row>
    <row r="45" spans="2:7" ht="29" outlineLevel="1" x14ac:dyDescent="0.35">
      <c r="B45" s="77"/>
      <c r="C45" s="139"/>
      <c r="D45" s="2" t="s">
        <v>4061</v>
      </c>
      <c r="E45" s="2" t="s">
        <v>4062</v>
      </c>
      <c r="F45" s="79"/>
      <c r="G45" s="82" t="s">
        <v>341</v>
      </c>
    </row>
    <row r="46" spans="2:7" ht="29" outlineLevel="1" x14ac:dyDescent="0.35">
      <c r="B46" s="77"/>
      <c r="C46" s="139"/>
      <c r="D46" s="2" t="s">
        <v>4063</v>
      </c>
      <c r="E46" s="2" t="s">
        <v>4064</v>
      </c>
      <c r="F46" s="79"/>
      <c r="G46" s="82" t="s">
        <v>341</v>
      </c>
    </row>
    <row r="47" spans="2:7" ht="29" outlineLevel="1" x14ac:dyDescent="0.35">
      <c r="B47" s="77"/>
      <c r="C47" s="139"/>
      <c r="D47" s="2" t="s">
        <v>4065</v>
      </c>
      <c r="E47" s="2" t="s">
        <v>4066</v>
      </c>
      <c r="F47" s="79"/>
      <c r="G47" s="82" t="s">
        <v>341</v>
      </c>
    </row>
    <row r="48" spans="2:7" ht="43.5" outlineLevel="1" x14ac:dyDescent="0.35">
      <c r="B48" s="77"/>
      <c r="C48" s="139"/>
      <c r="D48" s="2" t="s">
        <v>4067</v>
      </c>
      <c r="E48" s="2" t="s">
        <v>4068</v>
      </c>
      <c r="F48" s="79"/>
      <c r="G48" s="82" t="s">
        <v>341</v>
      </c>
    </row>
    <row r="49" spans="2:7" ht="29" outlineLevel="1" x14ac:dyDescent="0.35">
      <c r="B49" s="77"/>
      <c r="C49" s="139"/>
      <c r="D49" s="2" t="s">
        <v>4069</v>
      </c>
      <c r="E49" s="2" t="s">
        <v>4070</v>
      </c>
      <c r="F49" s="79"/>
      <c r="G49" s="82" t="s">
        <v>341</v>
      </c>
    </row>
    <row r="50" spans="2:7" ht="29" outlineLevel="1" x14ac:dyDescent="0.35">
      <c r="B50" s="77"/>
      <c r="C50" s="139"/>
      <c r="D50" s="2" t="s">
        <v>4071</v>
      </c>
      <c r="E50" s="2" t="s">
        <v>4072</v>
      </c>
      <c r="F50" s="79"/>
      <c r="G50" s="82" t="s">
        <v>341</v>
      </c>
    </row>
    <row r="51" spans="2:7" ht="58" outlineLevel="1" x14ac:dyDescent="0.35">
      <c r="B51" s="77"/>
      <c r="C51" s="139"/>
      <c r="D51" s="2" t="s">
        <v>4073</v>
      </c>
      <c r="E51" s="2" t="s">
        <v>4074</v>
      </c>
      <c r="F51" s="79"/>
      <c r="G51" s="82" t="s">
        <v>341</v>
      </c>
    </row>
    <row r="52" spans="2:7" x14ac:dyDescent="0.35">
      <c r="B52" s="77"/>
      <c r="C52" s="77"/>
      <c r="D52" s="81" t="s">
        <v>4089</v>
      </c>
      <c r="E52" s="2"/>
      <c r="F52" s="79"/>
      <c r="G52" s="78"/>
    </row>
    <row r="53" spans="2:7" outlineLevel="1" x14ac:dyDescent="0.35">
      <c r="B53" s="77"/>
      <c r="C53" s="139"/>
      <c r="D53" s="81" t="s">
        <v>4091</v>
      </c>
      <c r="E53" s="2"/>
      <c r="F53" s="79"/>
      <c r="G53" s="78"/>
    </row>
    <row r="54" spans="2:7" ht="29" outlineLevel="1" x14ac:dyDescent="0.35">
      <c r="B54" s="77"/>
      <c r="C54" s="139"/>
      <c r="D54" s="2" t="s">
        <v>4092</v>
      </c>
      <c r="E54" s="2" t="s">
        <v>4096</v>
      </c>
      <c r="F54" s="79"/>
      <c r="G54" s="82" t="s">
        <v>341</v>
      </c>
    </row>
    <row r="55" spans="2:7" ht="43.5" outlineLevel="1" x14ac:dyDescent="0.35">
      <c r="B55" s="77"/>
      <c r="C55" s="139"/>
      <c r="D55" s="2" t="s">
        <v>4093</v>
      </c>
      <c r="E55" s="2" t="s">
        <v>4097</v>
      </c>
      <c r="F55" s="79"/>
      <c r="G55" s="82" t="s">
        <v>341</v>
      </c>
    </row>
    <row r="56" spans="2:7" ht="29" outlineLevel="1" x14ac:dyDescent="0.35">
      <c r="B56" s="77"/>
      <c r="C56" s="139"/>
      <c r="D56" s="2" t="s">
        <v>4094</v>
      </c>
      <c r="E56" s="2" t="s">
        <v>4098</v>
      </c>
      <c r="F56" s="79"/>
      <c r="G56" s="82" t="s">
        <v>341</v>
      </c>
    </row>
    <row r="57" spans="2:7" ht="43" customHeight="1" outlineLevel="1" x14ac:dyDescent="0.35">
      <c r="B57" s="77"/>
      <c r="C57" s="139"/>
      <c r="D57" s="2" t="s">
        <v>4095</v>
      </c>
      <c r="E57" s="2" t="s">
        <v>4099</v>
      </c>
      <c r="F57" s="79"/>
      <c r="G57" s="82" t="s">
        <v>341</v>
      </c>
    </row>
    <row r="58" spans="2:7" outlineLevel="1" x14ac:dyDescent="0.35">
      <c r="B58" s="77"/>
      <c r="C58" s="139"/>
      <c r="D58" s="81" t="s">
        <v>4090</v>
      </c>
      <c r="E58" s="2"/>
      <c r="F58" s="79"/>
      <c r="G58" s="78"/>
    </row>
    <row r="59" spans="2:7" outlineLevel="1" x14ac:dyDescent="0.35">
      <c r="B59" s="77"/>
      <c r="C59" s="139"/>
      <c r="D59" s="2" t="s">
        <v>4076</v>
      </c>
      <c r="E59" s="2" t="s">
        <v>4077</v>
      </c>
      <c r="F59" s="79"/>
      <c r="G59" s="82" t="s">
        <v>341</v>
      </c>
    </row>
    <row r="60" spans="2:7" outlineLevel="1" x14ac:dyDescent="0.35">
      <c r="B60" s="77"/>
      <c r="C60" s="139"/>
      <c r="D60" s="2" t="s">
        <v>4080</v>
      </c>
      <c r="E60" s="2" t="s">
        <v>4081</v>
      </c>
      <c r="F60" s="79"/>
      <c r="G60" s="82" t="s">
        <v>341</v>
      </c>
    </row>
    <row r="61" spans="2:7" outlineLevel="1" x14ac:dyDescent="0.35">
      <c r="B61" s="77"/>
      <c r="C61" s="139"/>
      <c r="D61" s="2" t="s">
        <v>4078</v>
      </c>
      <c r="E61" s="2" t="s">
        <v>4079</v>
      </c>
      <c r="F61" s="79"/>
      <c r="G61" s="82" t="s">
        <v>341</v>
      </c>
    </row>
    <row r="62" spans="2:7" ht="29" x14ac:dyDescent="0.35">
      <c r="B62" s="77"/>
      <c r="C62" s="77" t="s">
        <v>3381</v>
      </c>
      <c r="D62" s="2"/>
      <c r="E62" s="2"/>
      <c r="F62" s="79"/>
      <c r="G62" s="80">
        <f>COUNTIF(G63:G71,"Yes")</f>
        <v>9</v>
      </c>
    </row>
    <row r="63" spans="2:7" ht="29" outlineLevel="1" x14ac:dyDescent="0.35">
      <c r="B63" s="77"/>
      <c r="C63" s="139"/>
      <c r="D63" s="2" t="s">
        <v>3382</v>
      </c>
      <c r="E63" s="2" t="s">
        <v>1175</v>
      </c>
      <c r="F63" s="79"/>
      <c r="G63" s="82" t="s">
        <v>341</v>
      </c>
    </row>
    <row r="64" spans="2:7" ht="101.5" outlineLevel="1" x14ac:dyDescent="0.35">
      <c r="B64" s="77"/>
      <c r="C64" s="139"/>
      <c r="D64" s="2" t="s">
        <v>3383</v>
      </c>
      <c r="E64" s="2" t="s">
        <v>3405</v>
      </c>
      <c r="F64" s="79"/>
      <c r="G64" s="82" t="s">
        <v>341</v>
      </c>
    </row>
    <row r="65" spans="2:7" ht="43.5" outlineLevel="1" x14ac:dyDescent="0.35">
      <c r="B65" s="77"/>
      <c r="C65" s="139"/>
      <c r="D65" s="2" t="s">
        <v>3397</v>
      </c>
      <c r="E65" s="2" t="s">
        <v>3406</v>
      </c>
      <c r="F65" s="79"/>
      <c r="G65" s="82" t="s">
        <v>341</v>
      </c>
    </row>
    <row r="66" spans="2:7" ht="29" outlineLevel="1" x14ac:dyDescent="0.35">
      <c r="B66" s="77"/>
      <c r="C66" s="139"/>
      <c r="D66" s="2" t="s">
        <v>3384</v>
      </c>
      <c r="E66" s="2" t="s">
        <v>3939</v>
      </c>
      <c r="F66" s="79"/>
      <c r="G66" s="82" t="s">
        <v>341</v>
      </c>
    </row>
    <row r="67" spans="2:7" ht="43.5" outlineLevel="1" x14ac:dyDescent="0.35">
      <c r="B67" s="77"/>
      <c r="C67" s="139"/>
      <c r="D67" s="2" t="s">
        <v>3398</v>
      </c>
      <c r="E67" s="2" t="s">
        <v>3403</v>
      </c>
      <c r="F67" s="79"/>
      <c r="G67" s="82" t="s">
        <v>341</v>
      </c>
    </row>
    <row r="68" spans="2:7" ht="29" outlineLevel="1" x14ac:dyDescent="0.35">
      <c r="B68" s="77"/>
      <c r="C68" s="139"/>
      <c r="D68" s="2" t="s">
        <v>3399</v>
      </c>
      <c r="E68" s="2" t="s">
        <v>1171</v>
      </c>
      <c r="F68" s="79"/>
      <c r="G68" s="82" t="s">
        <v>341</v>
      </c>
    </row>
    <row r="69" spans="2:7" ht="72.5" outlineLevel="1" x14ac:dyDescent="0.35">
      <c r="B69" s="77"/>
      <c r="C69" s="139"/>
      <c r="D69" s="2" t="s">
        <v>3400</v>
      </c>
      <c r="E69" s="2" t="s">
        <v>3404</v>
      </c>
      <c r="F69" s="79"/>
      <c r="G69" s="82" t="s">
        <v>341</v>
      </c>
    </row>
    <row r="70" spans="2:7" ht="29" outlineLevel="1" x14ac:dyDescent="0.35">
      <c r="B70" s="77"/>
      <c r="C70" s="139"/>
      <c r="D70" s="2" t="s">
        <v>3385</v>
      </c>
      <c r="E70" s="2" t="s">
        <v>1177</v>
      </c>
      <c r="F70" s="79"/>
      <c r="G70" s="82" t="s">
        <v>341</v>
      </c>
    </row>
    <row r="71" spans="2:7" ht="130.5" outlineLevel="1" x14ac:dyDescent="0.35">
      <c r="B71" s="77"/>
      <c r="C71" s="139"/>
      <c r="D71" s="2" t="s">
        <v>3401</v>
      </c>
      <c r="E71" s="2" t="s">
        <v>3402</v>
      </c>
      <c r="F71" s="79"/>
      <c r="G71" s="82" t="s">
        <v>341</v>
      </c>
    </row>
    <row r="72" spans="2:7" ht="29" x14ac:dyDescent="0.35">
      <c r="B72" s="77"/>
      <c r="C72" s="77" t="s">
        <v>3386</v>
      </c>
      <c r="D72" s="2"/>
      <c r="E72" s="2"/>
      <c r="F72" s="79"/>
      <c r="G72" s="80">
        <f>COUNTIF(G73:G82,"Yes")</f>
        <v>10</v>
      </c>
    </row>
    <row r="73" spans="2:7" ht="58" outlineLevel="1" x14ac:dyDescent="0.35">
      <c r="B73" s="77"/>
      <c r="C73" s="139"/>
      <c r="D73" s="2" t="s">
        <v>4824</v>
      </c>
      <c r="E73" s="2" t="s">
        <v>4830</v>
      </c>
      <c r="F73" s="79"/>
      <c r="G73" s="82" t="s">
        <v>341</v>
      </c>
    </row>
    <row r="74" spans="2:7" ht="43.5" outlineLevel="1" x14ac:dyDescent="0.35">
      <c r="B74" s="77"/>
      <c r="C74" s="139"/>
      <c r="D74" s="2" t="s">
        <v>4825</v>
      </c>
      <c r="E74" s="2" t="s">
        <v>4831</v>
      </c>
      <c r="F74" s="79"/>
      <c r="G74" s="82" t="s">
        <v>341</v>
      </c>
    </row>
    <row r="75" spans="2:7" ht="130.5" outlineLevel="1" x14ac:dyDescent="0.35">
      <c r="B75" s="77"/>
      <c r="C75" s="139"/>
      <c r="D75" s="2" t="s">
        <v>4826</v>
      </c>
      <c r="E75" s="2" t="s">
        <v>4832</v>
      </c>
      <c r="F75" s="79"/>
      <c r="G75" s="82" t="s">
        <v>341</v>
      </c>
    </row>
    <row r="76" spans="2:7" ht="58" outlineLevel="1" x14ac:dyDescent="0.35">
      <c r="B76" s="77"/>
      <c r="C76" s="139"/>
      <c r="D76" s="2" t="s">
        <v>3682</v>
      </c>
      <c r="E76" s="2" t="s">
        <v>3686</v>
      </c>
      <c r="F76" s="79"/>
      <c r="G76" s="82" t="s">
        <v>341</v>
      </c>
    </row>
    <row r="77" spans="2:7" ht="116" outlineLevel="1" x14ac:dyDescent="0.35">
      <c r="B77" s="77"/>
      <c r="C77" s="139"/>
      <c r="D77" s="2" t="s">
        <v>3387</v>
      </c>
      <c r="E77" s="2" t="s">
        <v>3685</v>
      </c>
      <c r="F77" s="79"/>
      <c r="G77" s="82" t="s">
        <v>341</v>
      </c>
    </row>
    <row r="78" spans="2:7" ht="43.5" outlineLevel="1" x14ac:dyDescent="0.35">
      <c r="B78" s="77"/>
      <c r="C78" s="139"/>
      <c r="D78" s="2" t="s">
        <v>4827</v>
      </c>
      <c r="E78" s="2" t="s">
        <v>4833</v>
      </c>
      <c r="F78" s="79"/>
      <c r="G78" s="82" t="s">
        <v>341</v>
      </c>
    </row>
    <row r="79" spans="2:7" ht="101.5" outlineLevel="1" x14ac:dyDescent="0.35">
      <c r="B79" s="77"/>
      <c r="C79" s="139"/>
      <c r="D79" s="2" t="s">
        <v>4828</v>
      </c>
      <c r="E79" s="2" t="s">
        <v>4834</v>
      </c>
      <c r="F79" s="79"/>
      <c r="G79" s="82" t="s">
        <v>341</v>
      </c>
    </row>
    <row r="80" spans="2:7" ht="87" outlineLevel="1" x14ac:dyDescent="0.35">
      <c r="B80" s="77"/>
      <c r="C80" s="139"/>
      <c r="D80" s="2" t="s">
        <v>4829</v>
      </c>
      <c r="E80" s="2" t="s">
        <v>4835</v>
      </c>
      <c r="F80" s="79"/>
      <c r="G80" s="82" t="s">
        <v>341</v>
      </c>
    </row>
    <row r="81" spans="2:7" ht="72.5" outlineLevel="1" x14ac:dyDescent="0.35">
      <c r="B81" s="77"/>
      <c r="C81" s="139"/>
      <c r="D81" s="2" t="s">
        <v>3683</v>
      </c>
      <c r="E81" s="2" t="s">
        <v>3684</v>
      </c>
      <c r="F81" s="79"/>
      <c r="G81" s="82" t="s">
        <v>341</v>
      </c>
    </row>
    <row r="82" spans="2:7" ht="130.5" outlineLevel="1" x14ac:dyDescent="0.35">
      <c r="B82" s="77"/>
      <c r="C82" s="139"/>
      <c r="D82" s="2" t="s">
        <v>3681</v>
      </c>
      <c r="E82" s="2" t="s">
        <v>4045</v>
      </c>
      <c r="F82" s="79"/>
      <c r="G82" s="82" t="s">
        <v>341</v>
      </c>
    </row>
    <row r="83" spans="2:7" x14ac:dyDescent="0.35">
      <c r="B83" s="77"/>
      <c r="C83" s="77" t="s">
        <v>3717</v>
      </c>
      <c r="D83" s="2"/>
      <c r="E83" s="2"/>
      <c r="F83" s="79"/>
      <c r="G83" s="80">
        <f>COUNTIF(G84:G94,"Yes")</f>
        <v>11</v>
      </c>
    </row>
    <row r="84" spans="2:7" ht="43.5" outlineLevel="1" x14ac:dyDescent="0.35">
      <c r="B84" s="77"/>
      <c r="C84" s="139"/>
      <c r="D84" s="2" t="s">
        <v>3718</v>
      </c>
      <c r="E84" s="2" t="s">
        <v>3729</v>
      </c>
      <c r="F84" s="79"/>
      <c r="G84" s="82" t="s">
        <v>341</v>
      </c>
    </row>
    <row r="85" spans="2:7" ht="43.5" outlineLevel="1" x14ac:dyDescent="0.35">
      <c r="B85" s="77"/>
      <c r="C85" s="139"/>
      <c r="D85" s="2" t="s">
        <v>3719</v>
      </c>
      <c r="E85" s="2" t="s">
        <v>4005</v>
      </c>
      <c r="F85" s="79"/>
      <c r="G85" s="82" t="s">
        <v>341</v>
      </c>
    </row>
    <row r="86" spans="2:7" ht="58" outlineLevel="1" x14ac:dyDescent="0.35">
      <c r="B86" s="77"/>
      <c r="C86" s="139"/>
      <c r="D86" s="2" t="s">
        <v>3720</v>
      </c>
      <c r="E86" s="2" t="s">
        <v>3730</v>
      </c>
      <c r="F86" s="79"/>
      <c r="G86" s="82" t="s">
        <v>341</v>
      </c>
    </row>
    <row r="87" spans="2:7" ht="29" outlineLevel="1" x14ac:dyDescent="0.35">
      <c r="B87" s="77"/>
      <c r="C87" s="139"/>
      <c r="D87" s="2" t="s">
        <v>3721</v>
      </c>
      <c r="E87" s="2" t="s">
        <v>3926</v>
      </c>
      <c r="F87" s="79"/>
      <c r="G87" s="82" t="s">
        <v>341</v>
      </c>
    </row>
    <row r="88" spans="2:7" ht="43.5" outlineLevel="1" x14ac:dyDescent="0.35">
      <c r="B88" s="77"/>
      <c r="C88" s="139"/>
      <c r="D88" s="2" t="s">
        <v>3722</v>
      </c>
      <c r="E88" s="2" t="s">
        <v>3731</v>
      </c>
      <c r="F88" s="79"/>
      <c r="G88" s="82" t="s">
        <v>341</v>
      </c>
    </row>
    <row r="89" spans="2:7" ht="43.5" outlineLevel="1" x14ac:dyDescent="0.35">
      <c r="B89" s="77"/>
      <c r="C89" s="139"/>
      <c r="D89" s="2" t="s">
        <v>3723</v>
      </c>
      <c r="E89" s="2" t="s">
        <v>3732</v>
      </c>
      <c r="F89" s="79"/>
      <c r="G89" s="82" t="s">
        <v>341</v>
      </c>
    </row>
    <row r="90" spans="2:7" ht="130.5" outlineLevel="1" x14ac:dyDescent="0.35">
      <c r="B90" s="77"/>
      <c r="C90" s="139"/>
      <c r="D90" s="2" t="s">
        <v>3724</v>
      </c>
      <c r="E90" s="2" t="s">
        <v>3733</v>
      </c>
      <c r="F90" s="79"/>
      <c r="G90" s="82" t="s">
        <v>341</v>
      </c>
    </row>
    <row r="91" spans="2:7" ht="87" outlineLevel="1" x14ac:dyDescent="0.35">
      <c r="B91" s="77"/>
      <c r="C91" s="139"/>
      <c r="D91" s="2" t="s">
        <v>3725</v>
      </c>
      <c r="E91" s="2" t="s">
        <v>3888</v>
      </c>
      <c r="F91" s="79"/>
      <c r="G91" s="82" t="s">
        <v>341</v>
      </c>
    </row>
    <row r="92" spans="2:7" ht="87" outlineLevel="1" x14ac:dyDescent="0.35">
      <c r="B92" s="77"/>
      <c r="C92" s="139"/>
      <c r="D92" s="2" t="s">
        <v>3726</v>
      </c>
      <c r="E92" s="2" t="s">
        <v>3734</v>
      </c>
      <c r="F92" s="79"/>
      <c r="G92" s="82" t="s">
        <v>341</v>
      </c>
    </row>
    <row r="93" spans="2:7" ht="87" outlineLevel="1" x14ac:dyDescent="0.35">
      <c r="B93" s="77"/>
      <c r="C93" s="139"/>
      <c r="D93" s="2" t="s">
        <v>3727</v>
      </c>
      <c r="E93" s="2" t="s">
        <v>3735</v>
      </c>
      <c r="F93" s="79"/>
      <c r="G93" s="82" t="s">
        <v>341</v>
      </c>
    </row>
    <row r="94" spans="2:7" ht="43.5" outlineLevel="1" x14ac:dyDescent="0.35">
      <c r="B94" s="77"/>
      <c r="C94" s="139"/>
      <c r="D94" s="2" t="s">
        <v>3728</v>
      </c>
      <c r="E94" s="2" t="s">
        <v>3736</v>
      </c>
      <c r="F94" s="79"/>
      <c r="G94" s="82" t="s">
        <v>341</v>
      </c>
    </row>
  </sheetData>
  <sortState xmlns:xlrd2="http://schemas.microsoft.com/office/spreadsheetml/2017/richdata2" ref="D10:E17">
    <sortCondition ref="D10"/>
  </sortState>
  <mergeCells count="2">
    <mergeCell ref="B6:E6"/>
    <mergeCell ref="G3:G4"/>
  </mergeCells>
  <dataValidations count="1">
    <dataValidation type="list" allowBlank="1" showInputMessage="1" showErrorMessage="1" sqref="G10:G18 G21:G29 G31:G41 G43:G61" xr:uid="{00000000-0002-0000-1400-000000000000}">
      <formula1>"Yes, No"</formula1>
    </dataValidation>
  </dataValidations>
  <pageMargins left="0.7" right="0.7" top="0.75" bottom="0.75" header="0.3" footer="0.3"/>
  <pageSetup paperSize="9" orientation="portrait" verticalDpi="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293276"/>
  </sheetPr>
  <dimension ref="B1:G53"/>
  <sheetViews>
    <sheetView showGridLines="0" zoomScale="80" zoomScaleNormal="80" workbookViewId="0">
      <selection activeCell="C2" sqref="C2"/>
    </sheetView>
  </sheetViews>
  <sheetFormatPr defaultRowHeight="14.5" outlineLevelRow="1" x14ac:dyDescent="0.35"/>
  <cols>
    <col min="1" max="1" width="2.1796875" style="62" customWidth="1"/>
    <col min="2" max="3" width="30.6328125" style="62" customWidth="1"/>
    <col min="4" max="4" width="50.6328125" style="62" customWidth="1"/>
    <col min="5" max="5" width="76.6328125" style="62" customWidth="1"/>
    <col min="6" max="6" width="2.1796875" style="62" customWidth="1"/>
    <col min="7" max="7" width="9.1796875" style="62" customWidth="1"/>
    <col min="8" max="16384" width="8.7265625" style="62"/>
  </cols>
  <sheetData>
    <row r="1" spans="2:7" ht="18.5" customHeight="1" x14ac:dyDescent="0.35">
      <c r="B1" s="70"/>
    </row>
    <row r="2" spans="2:7" x14ac:dyDescent="0.35">
      <c r="B2" s="151"/>
      <c r="C2" s="151"/>
      <c r="D2" s="157" t="s">
        <v>41</v>
      </c>
      <c r="E2" s="11" t="s">
        <v>3737</v>
      </c>
      <c r="F2" s="79"/>
      <c r="G2" s="13" t="s">
        <v>342</v>
      </c>
    </row>
    <row r="3" spans="2:7" x14ac:dyDescent="0.35">
      <c r="B3" s="151"/>
      <c r="C3" s="151"/>
      <c r="D3" s="11" t="s">
        <v>226</v>
      </c>
      <c r="E3" s="11">
        <f>COUNTIF(E8:E53,"*")</f>
        <v>34</v>
      </c>
      <c r="F3" s="79"/>
      <c r="G3" s="185">
        <f>COUNTIF(G8:G66,"Yes")</f>
        <v>34</v>
      </c>
    </row>
    <row r="4" spans="2:7" x14ac:dyDescent="0.35">
      <c r="B4" s="151"/>
      <c r="C4" s="151"/>
      <c r="D4" s="15" t="s">
        <v>79</v>
      </c>
      <c r="E4" s="15" t="str">
        <f>'(8) Financial Accounting'!E4</f>
        <v>R25 Model Bank</v>
      </c>
      <c r="F4" s="79"/>
      <c r="G4" s="186"/>
    </row>
    <row r="5" spans="2:7" ht="18.5" customHeight="1" x14ac:dyDescent="0.35"/>
    <row r="6" spans="2:7" x14ac:dyDescent="0.35">
      <c r="B6" s="191"/>
      <c r="C6" s="192"/>
      <c r="D6" s="192"/>
      <c r="E6" s="192"/>
      <c r="F6" s="79"/>
      <c r="G6" s="18" t="s">
        <v>340</v>
      </c>
    </row>
    <row r="7" spans="2:7" x14ac:dyDescent="0.35">
      <c r="B7" s="75" t="s">
        <v>83</v>
      </c>
      <c r="C7" s="75" t="s">
        <v>86</v>
      </c>
      <c r="D7" s="75" t="s">
        <v>87</v>
      </c>
      <c r="E7" s="75" t="s">
        <v>54</v>
      </c>
      <c r="F7" s="79"/>
      <c r="G7" s="76" t="s">
        <v>342</v>
      </c>
    </row>
    <row r="8" spans="2:7" x14ac:dyDescent="0.35">
      <c r="B8" s="77" t="s">
        <v>3737</v>
      </c>
      <c r="C8" s="77"/>
      <c r="D8" s="2"/>
      <c r="E8" s="2"/>
      <c r="F8" s="79"/>
      <c r="G8" s="78"/>
    </row>
    <row r="9" spans="2:7" ht="14" customHeight="1" collapsed="1" x14ac:dyDescent="0.35">
      <c r="B9" s="77"/>
      <c r="C9" s="77" t="s">
        <v>3738</v>
      </c>
      <c r="D9" s="2"/>
      <c r="E9" s="2"/>
      <c r="F9" s="79"/>
      <c r="G9" s="80">
        <f>COUNTIF(G10:G13,"Yes")</f>
        <v>4</v>
      </c>
    </row>
    <row r="10" spans="2:7" outlineLevel="1" x14ac:dyDescent="0.35">
      <c r="B10" s="77"/>
      <c r="C10" s="139"/>
      <c r="D10" s="2" t="s">
        <v>3742</v>
      </c>
      <c r="E10" s="2" t="s">
        <v>3912</v>
      </c>
      <c r="F10" s="79"/>
      <c r="G10" s="82" t="s">
        <v>341</v>
      </c>
    </row>
    <row r="11" spans="2:7" ht="87" outlineLevel="1" x14ac:dyDescent="0.35">
      <c r="B11" s="77"/>
      <c r="C11" s="139"/>
      <c r="D11" s="2" t="s">
        <v>3739</v>
      </c>
      <c r="E11" s="2" t="s">
        <v>3756</v>
      </c>
      <c r="F11" s="79"/>
      <c r="G11" s="82" t="s">
        <v>341</v>
      </c>
    </row>
    <row r="12" spans="2:7" ht="29" outlineLevel="1" x14ac:dyDescent="0.35">
      <c r="B12" s="77"/>
      <c r="C12" s="139"/>
      <c r="D12" s="2" t="s">
        <v>3743</v>
      </c>
      <c r="E12" s="2" t="s">
        <v>3757</v>
      </c>
      <c r="F12" s="79"/>
      <c r="G12" s="82" t="s">
        <v>341</v>
      </c>
    </row>
    <row r="13" spans="2:7" ht="77" customHeight="1" outlineLevel="1" x14ac:dyDescent="0.35">
      <c r="B13" s="77"/>
      <c r="C13" s="139"/>
      <c r="D13" s="2" t="s">
        <v>3740</v>
      </c>
      <c r="E13" s="2" t="s">
        <v>3758</v>
      </c>
      <c r="F13" s="79"/>
      <c r="G13" s="82" t="s">
        <v>341</v>
      </c>
    </row>
    <row r="14" spans="2:7" x14ac:dyDescent="0.35">
      <c r="B14" s="77"/>
      <c r="C14" s="139" t="s">
        <v>3744</v>
      </c>
      <c r="D14" s="2"/>
      <c r="E14" s="2"/>
      <c r="F14" s="79"/>
      <c r="G14" s="80">
        <f>COUNTIF(G15:G15:G16:G19,"Yes")</f>
        <v>5</v>
      </c>
    </row>
    <row r="15" spans="2:7" ht="72.5" outlineLevel="1" x14ac:dyDescent="0.35">
      <c r="B15" s="77"/>
      <c r="C15" s="139"/>
      <c r="D15" s="2" t="s">
        <v>3741</v>
      </c>
      <c r="E15" s="2" t="s">
        <v>3759</v>
      </c>
      <c r="F15" s="79"/>
      <c r="G15" s="82" t="s">
        <v>341</v>
      </c>
    </row>
    <row r="16" spans="2:7" ht="101.5" outlineLevel="1" x14ac:dyDescent="0.35">
      <c r="B16" s="77"/>
      <c r="C16" s="139"/>
      <c r="D16" s="2" t="s">
        <v>3745</v>
      </c>
      <c r="E16" s="2" t="s">
        <v>3760</v>
      </c>
      <c r="F16" s="79"/>
      <c r="G16" s="82" t="s">
        <v>341</v>
      </c>
    </row>
    <row r="17" spans="2:7" ht="29" outlineLevel="1" x14ac:dyDescent="0.35">
      <c r="B17" s="77"/>
      <c r="C17" s="139"/>
      <c r="D17" s="2" t="s">
        <v>3769</v>
      </c>
      <c r="E17" s="2" t="s">
        <v>3981</v>
      </c>
      <c r="F17" s="79"/>
      <c r="G17" s="82" t="s">
        <v>341</v>
      </c>
    </row>
    <row r="18" spans="2:7" ht="29" outlineLevel="1" x14ac:dyDescent="0.35">
      <c r="B18" s="77"/>
      <c r="C18" s="139"/>
      <c r="D18" s="2" t="s">
        <v>3770</v>
      </c>
      <c r="E18" s="2" t="s">
        <v>3996</v>
      </c>
      <c r="F18" s="79"/>
      <c r="G18" s="82" t="s">
        <v>341</v>
      </c>
    </row>
    <row r="19" spans="2:7" ht="43.5" outlineLevel="1" x14ac:dyDescent="0.35">
      <c r="B19" s="77"/>
      <c r="C19" s="139"/>
      <c r="D19" s="2" t="s">
        <v>3771</v>
      </c>
      <c r="E19" s="2" t="s">
        <v>3763</v>
      </c>
      <c r="F19" s="79"/>
      <c r="G19" s="82" t="s">
        <v>341</v>
      </c>
    </row>
    <row r="20" spans="2:7" x14ac:dyDescent="0.35">
      <c r="B20" s="77"/>
      <c r="C20" s="139" t="s">
        <v>3746</v>
      </c>
      <c r="D20" s="2"/>
      <c r="E20" s="2"/>
      <c r="F20" s="79"/>
      <c r="G20" s="80">
        <f>COUNTIF(G21:G21:G22:G24,"Yes")</f>
        <v>4</v>
      </c>
    </row>
    <row r="21" spans="2:7" ht="29" outlineLevel="1" x14ac:dyDescent="0.35">
      <c r="B21" s="77"/>
      <c r="C21" s="139"/>
      <c r="D21" s="2" t="s">
        <v>3761</v>
      </c>
      <c r="E21" s="2" t="s">
        <v>3762</v>
      </c>
      <c r="F21" s="79"/>
      <c r="G21" s="82" t="s">
        <v>341</v>
      </c>
    </row>
    <row r="22" spans="2:7" ht="29" outlineLevel="1" x14ac:dyDescent="0.35">
      <c r="B22" s="77"/>
      <c r="C22" s="77"/>
      <c r="D22" s="2" t="s">
        <v>3754</v>
      </c>
      <c r="E22" s="2" t="s">
        <v>3981</v>
      </c>
      <c r="F22" s="79"/>
      <c r="G22" s="82" t="s">
        <v>341</v>
      </c>
    </row>
    <row r="23" spans="2:7" ht="17" customHeight="1" outlineLevel="1" x14ac:dyDescent="0.35">
      <c r="B23" s="77"/>
      <c r="C23" s="139"/>
      <c r="D23" s="2" t="s">
        <v>3747</v>
      </c>
      <c r="E23" s="2" t="s">
        <v>3996</v>
      </c>
      <c r="F23" s="79"/>
      <c r="G23" s="82" t="s">
        <v>341</v>
      </c>
    </row>
    <row r="24" spans="2:7" ht="43.5" outlineLevel="1" x14ac:dyDescent="0.35">
      <c r="B24" s="77"/>
      <c r="D24" s="2" t="s">
        <v>3755</v>
      </c>
      <c r="E24" s="2" t="s">
        <v>3763</v>
      </c>
      <c r="F24" s="79"/>
      <c r="G24" s="82" t="s">
        <v>341</v>
      </c>
    </row>
    <row r="25" spans="2:7" x14ac:dyDescent="0.35">
      <c r="B25" s="77"/>
      <c r="C25" s="139" t="s">
        <v>3748</v>
      </c>
      <c r="D25" s="2"/>
      <c r="E25" s="2"/>
      <c r="F25" s="79"/>
      <c r="G25" s="80">
        <f>COUNTIF(G26:G29:G27:G29,"Yes")</f>
        <v>4</v>
      </c>
    </row>
    <row r="26" spans="2:7" outlineLevel="1" x14ac:dyDescent="0.35">
      <c r="B26" s="77"/>
      <c r="C26" s="139"/>
      <c r="D26" s="2" t="s">
        <v>3749</v>
      </c>
      <c r="E26" s="2" t="s">
        <v>3764</v>
      </c>
      <c r="F26" s="79"/>
      <c r="G26" s="82" t="s">
        <v>341</v>
      </c>
    </row>
    <row r="27" spans="2:7" ht="29" outlineLevel="1" x14ac:dyDescent="0.35">
      <c r="B27" s="77"/>
      <c r="C27" s="139"/>
      <c r="D27" s="2" t="s">
        <v>3750</v>
      </c>
      <c r="E27" s="2" t="s">
        <v>3765</v>
      </c>
      <c r="F27" s="79"/>
      <c r="G27" s="82" t="s">
        <v>341</v>
      </c>
    </row>
    <row r="28" spans="2:7" ht="29" outlineLevel="1" x14ac:dyDescent="0.35">
      <c r="B28" s="77"/>
      <c r="C28" s="139"/>
      <c r="D28" s="2" t="s">
        <v>3751</v>
      </c>
      <c r="E28" s="2" t="s">
        <v>4007</v>
      </c>
      <c r="F28" s="79"/>
      <c r="G28" s="82" t="s">
        <v>341</v>
      </c>
    </row>
    <row r="29" spans="2:7" ht="43.5" outlineLevel="1" x14ac:dyDescent="0.35">
      <c r="B29" s="77"/>
      <c r="C29" s="139"/>
      <c r="D29" s="2" t="s">
        <v>3752</v>
      </c>
      <c r="E29" s="2" t="s">
        <v>3766</v>
      </c>
      <c r="F29" s="79"/>
      <c r="G29" s="82" t="s">
        <v>341</v>
      </c>
    </row>
    <row r="30" spans="2:7" x14ac:dyDescent="0.35">
      <c r="B30" s="77"/>
      <c r="C30" s="139" t="s">
        <v>4258</v>
      </c>
      <c r="D30" s="2"/>
      <c r="E30" s="2"/>
      <c r="F30" s="79"/>
      <c r="G30" s="80">
        <f>COUNTIF(G32:G53:G34:G38,"Yes")</f>
        <v>17</v>
      </c>
    </row>
    <row r="31" spans="2:7" x14ac:dyDescent="0.35">
      <c r="B31" s="77"/>
      <c r="C31" s="139"/>
      <c r="D31" s="81" t="s">
        <v>4259</v>
      </c>
      <c r="E31" s="2"/>
      <c r="F31" s="79"/>
      <c r="G31" s="78"/>
    </row>
    <row r="32" spans="2:7" ht="58" outlineLevel="1" x14ac:dyDescent="0.35">
      <c r="B32" s="77"/>
      <c r="C32" s="139"/>
      <c r="D32" s="2" t="s">
        <v>4246</v>
      </c>
      <c r="E32" s="2" t="s">
        <v>4254</v>
      </c>
      <c r="F32" s="79"/>
      <c r="G32" s="82" t="s">
        <v>341</v>
      </c>
    </row>
    <row r="33" spans="2:7" x14ac:dyDescent="0.35">
      <c r="B33" s="77"/>
      <c r="C33" s="139"/>
      <c r="D33" s="81" t="s">
        <v>4260</v>
      </c>
      <c r="E33" s="2"/>
      <c r="F33" s="79"/>
      <c r="G33" s="78"/>
    </row>
    <row r="34" spans="2:7" ht="72.5" outlineLevel="1" x14ac:dyDescent="0.35">
      <c r="B34" s="77"/>
      <c r="C34" s="139"/>
      <c r="D34" s="2" t="s">
        <v>4247</v>
      </c>
      <c r="E34" s="2" t="s">
        <v>4851</v>
      </c>
      <c r="F34" s="79"/>
      <c r="G34" s="82" t="s">
        <v>341</v>
      </c>
    </row>
    <row r="35" spans="2:7" x14ac:dyDescent="0.35">
      <c r="B35" s="77"/>
      <c r="C35" s="139"/>
      <c r="D35" s="81" t="s">
        <v>4372</v>
      </c>
      <c r="E35" s="2"/>
      <c r="F35" s="79"/>
      <c r="G35" s="78"/>
    </row>
    <row r="36" spans="2:7" ht="87" outlineLevel="1" x14ac:dyDescent="0.35">
      <c r="B36" s="77"/>
      <c r="C36" s="139"/>
      <c r="D36" s="2" t="s">
        <v>4248</v>
      </c>
      <c r="E36" s="2" t="s">
        <v>5680</v>
      </c>
      <c r="F36" s="79"/>
      <c r="G36" s="82" t="s">
        <v>341</v>
      </c>
    </row>
    <row r="37" spans="2:7" x14ac:dyDescent="0.35">
      <c r="B37" s="77"/>
      <c r="C37" s="139"/>
      <c r="D37" s="81" t="s">
        <v>4370</v>
      </c>
      <c r="E37" s="2"/>
      <c r="F37" s="79"/>
      <c r="G37" s="78"/>
    </row>
    <row r="38" spans="2:7" ht="29" outlineLevel="1" x14ac:dyDescent="0.35">
      <c r="B38" s="77"/>
      <c r="C38" s="139"/>
      <c r="D38" s="2" t="s">
        <v>4743</v>
      </c>
      <c r="E38" s="2" t="s">
        <v>4744</v>
      </c>
      <c r="F38" s="79"/>
      <c r="G38" s="82" t="s">
        <v>341</v>
      </c>
    </row>
    <row r="39" spans="2:7" ht="29" outlineLevel="1" x14ac:dyDescent="0.35">
      <c r="B39" s="77"/>
      <c r="C39" s="139"/>
      <c r="D39" s="2" t="s">
        <v>4242</v>
      </c>
      <c r="E39" s="2" t="s">
        <v>4251</v>
      </c>
      <c r="F39" s="79"/>
      <c r="G39" s="82" t="s">
        <v>341</v>
      </c>
    </row>
    <row r="40" spans="2:7" ht="29" outlineLevel="1" x14ac:dyDescent="0.35">
      <c r="B40" s="77"/>
      <c r="C40" s="139"/>
      <c r="D40" s="2" t="s">
        <v>4243</v>
      </c>
      <c r="E40" s="2" t="s">
        <v>4252</v>
      </c>
      <c r="F40" s="79"/>
      <c r="G40" s="82" t="s">
        <v>341</v>
      </c>
    </row>
    <row r="41" spans="2:7" ht="72.5" outlineLevel="1" x14ac:dyDescent="0.35">
      <c r="B41" s="77"/>
      <c r="C41" s="139"/>
      <c r="D41" s="2" t="s">
        <v>5202</v>
      </c>
      <c r="E41" s="2" t="s">
        <v>5204</v>
      </c>
      <c r="F41" s="79"/>
      <c r="G41" s="82" t="s">
        <v>341</v>
      </c>
    </row>
    <row r="42" spans="2:7" ht="29" outlineLevel="1" x14ac:dyDescent="0.35">
      <c r="B42" s="77"/>
      <c r="C42" s="139"/>
      <c r="D42" s="2" t="s">
        <v>5203</v>
      </c>
      <c r="E42" s="2" t="s">
        <v>5205</v>
      </c>
      <c r="F42" s="79"/>
      <c r="G42" s="82" t="s">
        <v>341</v>
      </c>
    </row>
    <row r="43" spans="2:7" ht="29" outlineLevel="1" x14ac:dyDescent="0.35">
      <c r="B43" s="77"/>
      <c r="C43" s="139"/>
      <c r="D43" s="2" t="s">
        <v>4245</v>
      </c>
      <c r="E43" s="2" t="s">
        <v>4921</v>
      </c>
      <c r="F43" s="79"/>
      <c r="G43" s="82" t="s">
        <v>341</v>
      </c>
    </row>
    <row r="44" spans="2:7" x14ac:dyDescent="0.35">
      <c r="B44" s="77"/>
      <c r="C44" s="139"/>
      <c r="D44" s="81" t="s">
        <v>4261</v>
      </c>
      <c r="E44" s="2"/>
      <c r="F44" s="79"/>
      <c r="G44" s="78"/>
    </row>
    <row r="45" spans="2:7" ht="29" outlineLevel="1" x14ac:dyDescent="0.35">
      <c r="B45" s="77"/>
      <c r="C45" s="139"/>
      <c r="D45" s="2" t="s">
        <v>4256</v>
      </c>
      <c r="E45" s="2" t="s">
        <v>4250</v>
      </c>
      <c r="F45" s="79"/>
      <c r="G45" s="82" t="s">
        <v>341</v>
      </c>
    </row>
    <row r="46" spans="2:7" ht="29" outlineLevel="1" x14ac:dyDescent="0.35">
      <c r="B46" s="77"/>
      <c r="C46" s="139"/>
      <c r="D46" s="2" t="s">
        <v>4244</v>
      </c>
      <c r="E46" s="2" t="s">
        <v>4253</v>
      </c>
      <c r="F46" s="79"/>
      <c r="G46" s="82" t="s">
        <v>341</v>
      </c>
    </row>
    <row r="47" spans="2:7" ht="43.5" outlineLevel="1" x14ac:dyDescent="0.35">
      <c r="B47" s="77"/>
      <c r="C47" s="139"/>
      <c r="D47" s="2" t="s">
        <v>5487</v>
      </c>
      <c r="E47" s="2" t="s">
        <v>5490</v>
      </c>
      <c r="F47" s="79"/>
      <c r="G47" s="82" t="s">
        <v>341</v>
      </c>
    </row>
    <row r="48" spans="2:7" ht="43.5" outlineLevel="1" x14ac:dyDescent="0.35">
      <c r="B48" s="77"/>
      <c r="C48" s="139"/>
      <c r="D48" s="2" t="s">
        <v>5488</v>
      </c>
      <c r="E48" s="2" t="s">
        <v>5491</v>
      </c>
      <c r="F48" s="79"/>
      <c r="G48" s="82" t="s">
        <v>341</v>
      </c>
    </row>
    <row r="49" spans="2:7" ht="58" outlineLevel="1" x14ac:dyDescent="0.35">
      <c r="B49" s="77"/>
      <c r="C49" s="139"/>
      <c r="D49" s="2" t="s">
        <v>5489</v>
      </c>
      <c r="E49" s="2" t="s">
        <v>5492</v>
      </c>
      <c r="F49" s="79"/>
      <c r="G49" s="82" t="s">
        <v>341</v>
      </c>
    </row>
    <row r="50" spans="2:7" ht="29" outlineLevel="1" x14ac:dyDescent="0.35">
      <c r="B50" s="77"/>
      <c r="C50" s="139"/>
      <c r="D50" s="2" t="s">
        <v>4249</v>
      </c>
      <c r="E50" s="2" t="s">
        <v>4255</v>
      </c>
      <c r="F50" s="79"/>
      <c r="G50" s="82" t="s">
        <v>341</v>
      </c>
    </row>
    <row r="51" spans="2:7" x14ac:dyDescent="0.35">
      <c r="B51" s="77"/>
      <c r="C51" s="139"/>
      <c r="D51" s="81" t="s">
        <v>5408</v>
      </c>
      <c r="E51" s="2"/>
      <c r="F51" s="79"/>
      <c r="G51" s="78"/>
    </row>
    <row r="52" spans="2:7" ht="43.5" outlineLevel="1" x14ac:dyDescent="0.35">
      <c r="B52" s="77"/>
      <c r="C52" s="139"/>
      <c r="D52" s="2" t="s">
        <v>5409</v>
      </c>
      <c r="E52" s="2" t="s">
        <v>5411</v>
      </c>
      <c r="F52" s="79"/>
      <c r="G52" s="82" t="s">
        <v>341</v>
      </c>
    </row>
    <row r="53" spans="2:7" ht="58" outlineLevel="1" x14ac:dyDescent="0.35">
      <c r="B53" s="77"/>
      <c r="C53" s="139"/>
      <c r="D53" s="2" t="s">
        <v>5410</v>
      </c>
      <c r="E53" s="2" t="s">
        <v>5412</v>
      </c>
      <c r="F53" s="79"/>
      <c r="G53" s="82" t="s">
        <v>341</v>
      </c>
    </row>
  </sheetData>
  <sortState xmlns:xlrd2="http://schemas.microsoft.com/office/spreadsheetml/2017/richdata2" ref="B8:E58">
    <sortCondition ref="D18"/>
  </sortState>
  <mergeCells count="2">
    <mergeCell ref="G3:G4"/>
    <mergeCell ref="B6:E6"/>
  </mergeCells>
  <dataValidations count="1">
    <dataValidation type="list" allowBlank="1" showInputMessage="1" showErrorMessage="1" sqref="G10:G13" xr:uid="{00000000-0002-0000-1500-000000000000}">
      <formula1>"Yes, No"</formula1>
    </dataValidation>
  </dataValidations>
  <pageMargins left="0.7" right="0.7" top="0.75" bottom="0.75" header="0.3" footer="0.3"/>
  <pageSetup paperSize="9" orientation="portrait" verticalDpi="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7D514-A31F-4E8E-B5B4-950FF5C518E9}">
  <sheetPr>
    <tabColor rgb="FF003366"/>
  </sheetPr>
  <dimension ref="B1:G178"/>
  <sheetViews>
    <sheetView showGridLines="0" zoomScale="80" zoomScaleNormal="80" workbookViewId="0">
      <selection activeCell="C2" sqref="C2"/>
    </sheetView>
  </sheetViews>
  <sheetFormatPr defaultRowHeight="14.5" outlineLevelRow="1" x14ac:dyDescent="0.35"/>
  <cols>
    <col min="1" max="1" width="2.1796875" style="62" customWidth="1"/>
    <col min="2" max="2" width="30.6328125" style="62" customWidth="1"/>
    <col min="3" max="3" width="33.36328125" style="62" customWidth="1"/>
    <col min="4" max="4" width="50.6328125" style="62" customWidth="1"/>
    <col min="5" max="5" width="76.6328125" style="62" customWidth="1"/>
    <col min="6" max="6" width="2.1796875" style="62" customWidth="1"/>
    <col min="7" max="7" width="9.1796875" style="62" customWidth="1"/>
    <col min="8" max="16384" width="8.7265625" style="62"/>
  </cols>
  <sheetData>
    <row r="1" spans="2:7" x14ac:dyDescent="0.35">
      <c r="B1" s="70"/>
    </row>
    <row r="2" spans="2:7" x14ac:dyDescent="0.35">
      <c r="B2" s="151"/>
      <c r="C2" s="151"/>
      <c r="D2" s="11" t="s">
        <v>41</v>
      </c>
      <c r="E2" s="11" t="s">
        <v>4123</v>
      </c>
      <c r="F2" s="79"/>
      <c r="G2" s="13" t="s">
        <v>342</v>
      </c>
    </row>
    <row r="3" spans="2:7" x14ac:dyDescent="0.35">
      <c r="B3" s="151"/>
      <c r="C3" s="151"/>
      <c r="D3" s="11" t="s">
        <v>226</v>
      </c>
      <c r="E3" s="11">
        <f>COUNTIF(E8:E178,"*")</f>
        <v>157</v>
      </c>
      <c r="F3" s="79"/>
      <c r="G3" s="185">
        <f>COUNTIF(G8:G178,"Yes")</f>
        <v>157</v>
      </c>
    </row>
    <row r="4" spans="2:7" x14ac:dyDescent="0.35">
      <c r="B4" s="151"/>
      <c r="C4" s="151"/>
      <c r="D4" s="15" t="s">
        <v>79</v>
      </c>
      <c r="E4" s="15" t="str">
        <f>'(8) Financial Accounting'!E4</f>
        <v>R25 Model Bank</v>
      </c>
      <c r="F4" s="79"/>
      <c r="G4" s="186"/>
    </row>
    <row r="6" spans="2:7" x14ac:dyDescent="0.35">
      <c r="B6" s="191"/>
      <c r="C6" s="192"/>
      <c r="D6" s="192"/>
      <c r="E6" s="192"/>
      <c r="F6" s="79"/>
      <c r="G6" s="18" t="s">
        <v>340</v>
      </c>
    </row>
    <row r="7" spans="2:7" x14ac:dyDescent="0.35">
      <c r="B7" s="167" t="s">
        <v>83</v>
      </c>
      <c r="C7" s="75" t="s">
        <v>86</v>
      </c>
      <c r="D7" s="75" t="s">
        <v>87</v>
      </c>
      <c r="E7" s="75" t="s">
        <v>54</v>
      </c>
      <c r="F7" s="79"/>
      <c r="G7" s="76" t="s">
        <v>342</v>
      </c>
    </row>
    <row r="8" spans="2:7" x14ac:dyDescent="0.35">
      <c r="B8" s="77" t="s">
        <v>4123</v>
      </c>
      <c r="C8" s="77"/>
      <c r="D8" s="2"/>
      <c r="E8" s="2"/>
      <c r="F8" s="79"/>
      <c r="G8" s="78"/>
    </row>
    <row r="9" spans="2:7" collapsed="1" x14ac:dyDescent="0.35">
      <c r="B9" s="77"/>
      <c r="C9" s="77" t="s">
        <v>4125</v>
      </c>
      <c r="D9" s="2"/>
      <c r="E9" s="2"/>
      <c r="F9" s="79"/>
      <c r="G9" s="80">
        <f>COUNTIF(G11:G95,"Yes")</f>
        <v>81</v>
      </c>
    </row>
    <row r="10" spans="2:7" x14ac:dyDescent="0.35">
      <c r="B10" s="77"/>
      <c r="C10" s="77"/>
      <c r="D10" s="81" t="s">
        <v>4126</v>
      </c>
      <c r="E10" s="2"/>
      <c r="F10" s="79"/>
      <c r="G10" s="78"/>
    </row>
    <row r="11" spans="2:7" ht="29" outlineLevel="1" x14ac:dyDescent="0.35">
      <c r="B11" s="77"/>
      <c r="C11" s="139"/>
      <c r="D11" s="2" t="s">
        <v>4127</v>
      </c>
      <c r="E11" s="2" t="s">
        <v>3374</v>
      </c>
      <c r="F11" s="79"/>
      <c r="G11" s="82" t="s">
        <v>341</v>
      </c>
    </row>
    <row r="12" spans="2:7" ht="29" outlineLevel="1" x14ac:dyDescent="0.35">
      <c r="B12" s="77"/>
      <c r="C12" s="139"/>
      <c r="D12" s="2" t="s">
        <v>4128</v>
      </c>
      <c r="E12" s="2" t="s">
        <v>4221</v>
      </c>
      <c r="F12" s="79"/>
      <c r="G12" s="82" t="s">
        <v>341</v>
      </c>
    </row>
    <row r="13" spans="2:7" ht="29" outlineLevel="1" x14ac:dyDescent="0.35">
      <c r="B13" s="77"/>
      <c r="C13" s="139"/>
      <c r="D13" s="2" t="s">
        <v>4129</v>
      </c>
      <c r="E13" s="2" t="s">
        <v>3894</v>
      </c>
      <c r="F13" s="79"/>
      <c r="G13" s="82" t="s">
        <v>341</v>
      </c>
    </row>
    <row r="14" spans="2:7" outlineLevel="1" x14ac:dyDescent="0.35">
      <c r="B14" s="77"/>
      <c r="C14" s="139"/>
      <c r="D14" s="2" t="s">
        <v>4262</v>
      </c>
      <c r="E14" s="2" t="s">
        <v>4272</v>
      </c>
      <c r="F14" s="79"/>
      <c r="G14" s="82" t="s">
        <v>341</v>
      </c>
    </row>
    <row r="15" spans="2:7" ht="29" outlineLevel="1" x14ac:dyDescent="0.35">
      <c r="B15" s="77"/>
      <c r="C15" s="139"/>
      <c r="D15" s="2" t="s">
        <v>4263</v>
      </c>
      <c r="E15" s="2" t="s">
        <v>4273</v>
      </c>
      <c r="F15" s="79"/>
      <c r="G15" s="82" t="s">
        <v>341</v>
      </c>
    </row>
    <row r="16" spans="2:7" ht="43.5" outlineLevel="1" x14ac:dyDescent="0.35">
      <c r="B16" s="77"/>
      <c r="C16" s="139"/>
      <c r="D16" s="2" t="s">
        <v>4130</v>
      </c>
      <c r="E16" s="2" t="s">
        <v>3378</v>
      </c>
      <c r="F16" s="79"/>
      <c r="G16" s="82" t="s">
        <v>341</v>
      </c>
    </row>
    <row r="17" spans="2:7" outlineLevel="1" x14ac:dyDescent="0.35">
      <c r="B17" s="77"/>
      <c r="C17" s="139"/>
      <c r="D17" s="2" t="s">
        <v>4131</v>
      </c>
      <c r="E17" s="2" t="s">
        <v>4136</v>
      </c>
      <c r="F17" s="79"/>
      <c r="G17" s="82" t="s">
        <v>341</v>
      </c>
    </row>
    <row r="18" spans="2:7" ht="29" outlineLevel="1" x14ac:dyDescent="0.35">
      <c r="B18" s="77"/>
      <c r="C18" s="139"/>
      <c r="D18" s="2" t="s">
        <v>4132</v>
      </c>
      <c r="E18" s="2" t="s">
        <v>3377</v>
      </c>
      <c r="F18" s="79"/>
      <c r="G18" s="82" t="s">
        <v>341</v>
      </c>
    </row>
    <row r="19" spans="2:7" outlineLevel="1" x14ac:dyDescent="0.35">
      <c r="B19" s="77"/>
      <c r="C19" s="139"/>
      <c r="D19" s="2" t="s">
        <v>4264</v>
      </c>
      <c r="E19" s="2" t="s">
        <v>4274</v>
      </c>
      <c r="F19" s="79"/>
      <c r="G19" s="82" t="s">
        <v>341</v>
      </c>
    </row>
    <row r="20" spans="2:7" ht="29" outlineLevel="1" x14ac:dyDescent="0.35">
      <c r="B20" s="77"/>
      <c r="C20" s="139"/>
      <c r="D20" s="2" t="s">
        <v>4265</v>
      </c>
      <c r="E20" s="2" t="s">
        <v>4275</v>
      </c>
      <c r="F20" s="79"/>
      <c r="G20" s="82" t="s">
        <v>341</v>
      </c>
    </row>
    <row r="21" spans="2:7" ht="29" outlineLevel="1" x14ac:dyDescent="0.35">
      <c r="B21" s="77"/>
      <c r="C21" s="139"/>
      <c r="D21" s="2" t="s">
        <v>4266</v>
      </c>
      <c r="E21" s="2" t="s">
        <v>4276</v>
      </c>
      <c r="F21" s="79"/>
      <c r="G21" s="82" t="s">
        <v>341</v>
      </c>
    </row>
    <row r="22" spans="2:7" ht="29" outlineLevel="1" x14ac:dyDescent="0.35">
      <c r="B22" s="77"/>
      <c r="C22" s="139"/>
      <c r="D22" s="2" t="s">
        <v>4267</v>
      </c>
      <c r="E22" s="2" t="s">
        <v>4277</v>
      </c>
      <c r="F22" s="79"/>
      <c r="G22" s="82" t="s">
        <v>341</v>
      </c>
    </row>
    <row r="23" spans="2:7" ht="29" outlineLevel="1" x14ac:dyDescent="0.35">
      <c r="B23" s="77"/>
      <c r="C23" s="139"/>
      <c r="D23" s="2" t="s">
        <v>4268</v>
      </c>
      <c r="E23" s="2" t="s">
        <v>4278</v>
      </c>
      <c r="F23" s="79"/>
      <c r="G23" s="82" t="s">
        <v>341</v>
      </c>
    </row>
    <row r="24" spans="2:7" ht="29" outlineLevel="1" x14ac:dyDescent="0.35">
      <c r="B24" s="77"/>
      <c r="C24" s="139"/>
      <c r="D24" s="2" t="s">
        <v>4269</v>
      </c>
      <c r="E24" s="2" t="s">
        <v>4279</v>
      </c>
      <c r="F24" s="79"/>
      <c r="G24" s="82" t="s">
        <v>341</v>
      </c>
    </row>
    <row r="25" spans="2:7" ht="29" outlineLevel="1" x14ac:dyDescent="0.35">
      <c r="B25" s="77"/>
      <c r="C25" s="139"/>
      <c r="D25" s="2" t="s">
        <v>4308</v>
      </c>
      <c r="E25" s="2" t="s">
        <v>4310</v>
      </c>
      <c r="F25" s="79"/>
      <c r="G25" s="82" t="s">
        <v>341</v>
      </c>
    </row>
    <row r="26" spans="2:7" ht="29" outlineLevel="1" x14ac:dyDescent="0.35">
      <c r="B26" s="77"/>
      <c r="C26" s="139"/>
      <c r="D26" s="2" t="s">
        <v>4270</v>
      </c>
      <c r="E26" s="2" t="s">
        <v>4280</v>
      </c>
      <c r="F26" s="79" t="s">
        <v>4197</v>
      </c>
      <c r="G26" s="82" t="s">
        <v>341</v>
      </c>
    </row>
    <row r="27" spans="2:7" ht="29" outlineLevel="1" x14ac:dyDescent="0.35">
      <c r="B27" s="77"/>
      <c r="C27" s="139"/>
      <c r="D27" s="2" t="s">
        <v>4133</v>
      </c>
      <c r="E27" s="2" t="s">
        <v>3380</v>
      </c>
      <c r="F27" s="79"/>
      <c r="G27" s="82" t="s">
        <v>341</v>
      </c>
    </row>
    <row r="28" spans="2:7" ht="29" outlineLevel="1" x14ac:dyDescent="0.35">
      <c r="B28" s="77"/>
      <c r="C28" s="139"/>
      <c r="D28" s="2" t="s">
        <v>4134</v>
      </c>
      <c r="E28" s="2" t="s">
        <v>3899</v>
      </c>
      <c r="F28" s="79"/>
      <c r="G28" s="82" t="s">
        <v>341</v>
      </c>
    </row>
    <row r="29" spans="2:7" outlineLevel="1" x14ac:dyDescent="0.35">
      <c r="B29" s="77"/>
      <c r="C29" s="139"/>
      <c r="D29" s="2" t="s">
        <v>4271</v>
      </c>
      <c r="E29" s="2" t="s">
        <v>4281</v>
      </c>
      <c r="F29" s="79"/>
      <c r="G29" s="82" t="s">
        <v>341</v>
      </c>
    </row>
    <row r="30" spans="2:7" ht="29" outlineLevel="1" x14ac:dyDescent="0.35">
      <c r="B30" s="77"/>
      <c r="C30" s="139"/>
      <c r="D30" s="2" t="s">
        <v>4175</v>
      </c>
      <c r="E30" s="2" t="s">
        <v>4282</v>
      </c>
      <c r="F30" s="79"/>
      <c r="G30" s="82" t="s">
        <v>341</v>
      </c>
    </row>
    <row r="31" spans="2:7" ht="29" outlineLevel="1" x14ac:dyDescent="0.35">
      <c r="B31" s="77"/>
      <c r="C31" s="139"/>
      <c r="D31" s="2" t="s">
        <v>4135</v>
      </c>
      <c r="E31" s="2" t="s">
        <v>3375</v>
      </c>
      <c r="F31" s="79"/>
      <c r="G31" s="82" t="s">
        <v>341</v>
      </c>
    </row>
    <row r="32" spans="2:7" x14ac:dyDescent="0.35">
      <c r="B32" s="77"/>
      <c r="C32" s="77"/>
      <c r="D32" s="81" t="s">
        <v>4137</v>
      </c>
      <c r="E32" s="2"/>
      <c r="F32" s="79"/>
      <c r="G32" s="78"/>
    </row>
    <row r="33" spans="2:7" ht="29" outlineLevel="1" x14ac:dyDescent="0.35">
      <c r="B33" s="77"/>
      <c r="C33" s="139"/>
      <c r="D33" s="2" t="s">
        <v>4138</v>
      </c>
      <c r="E33" s="2" t="s">
        <v>3867</v>
      </c>
      <c r="F33" s="79"/>
      <c r="G33" s="82" t="s">
        <v>341</v>
      </c>
    </row>
    <row r="34" spans="2:7" ht="29" outlineLevel="1" x14ac:dyDescent="0.35">
      <c r="B34" s="77"/>
      <c r="C34" s="139"/>
      <c r="D34" s="2" t="s">
        <v>4139</v>
      </c>
      <c r="E34" s="2" t="s">
        <v>3882</v>
      </c>
      <c r="F34" s="79"/>
      <c r="G34" s="82" t="s">
        <v>341</v>
      </c>
    </row>
    <row r="35" spans="2:7" ht="29" outlineLevel="1" x14ac:dyDescent="0.35">
      <c r="B35" s="77"/>
      <c r="C35" s="139"/>
      <c r="D35" s="2" t="s">
        <v>4140</v>
      </c>
      <c r="E35" s="2" t="s">
        <v>4149</v>
      </c>
      <c r="F35" s="79"/>
      <c r="G35" s="82" t="s">
        <v>341</v>
      </c>
    </row>
    <row r="36" spans="2:7" outlineLevel="1" x14ac:dyDescent="0.35">
      <c r="B36" s="77"/>
      <c r="C36" s="139"/>
      <c r="D36" s="2" t="s">
        <v>4300</v>
      </c>
      <c r="E36" s="2" t="s">
        <v>4272</v>
      </c>
      <c r="F36" s="79"/>
      <c r="G36" s="82" t="s">
        <v>341</v>
      </c>
    </row>
    <row r="37" spans="2:7" ht="29" outlineLevel="1" x14ac:dyDescent="0.35">
      <c r="B37" s="77"/>
      <c r="C37" s="139"/>
      <c r="D37" s="2" t="s">
        <v>4301</v>
      </c>
      <c r="E37" s="2" t="s">
        <v>4273</v>
      </c>
      <c r="F37" s="79"/>
      <c r="G37" s="82" t="s">
        <v>341</v>
      </c>
    </row>
    <row r="38" spans="2:7" outlineLevel="1" x14ac:dyDescent="0.35">
      <c r="B38" s="77"/>
      <c r="C38" s="139"/>
      <c r="D38" s="2" t="s">
        <v>4141</v>
      </c>
      <c r="E38" s="2" t="s">
        <v>3874</v>
      </c>
      <c r="F38" s="79"/>
      <c r="G38" s="82" t="s">
        <v>341</v>
      </c>
    </row>
    <row r="39" spans="2:7" ht="29" outlineLevel="1" x14ac:dyDescent="0.35">
      <c r="B39" s="77"/>
      <c r="C39" s="139"/>
      <c r="D39" s="2" t="s">
        <v>4142</v>
      </c>
      <c r="E39" s="2" t="s">
        <v>4150</v>
      </c>
      <c r="F39" s="79"/>
      <c r="G39" s="82" t="s">
        <v>341</v>
      </c>
    </row>
    <row r="40" spans="2:7" outlineLevel="1" x14ac:dyDescent="0.35">
      <c r="B40" s="77"/>
      <c r="C40" s="139"/>
      <c r="D40" s="2" t="s">
        <v>4143</v>
      </c>
      <c r="E40" s="2" t="s">
        <v>3876</v>
      </c>
      <c r="F40" s="79"/>
      <c r="G40" s="82" t="s">
        <v>341</v>
      </c>
    </row>
    <row r="41" spans="2:7" outlineLevel="1" x14ac:dyDescent="0.35">
      <c r="B41" s="77"/>
      <c r="C41" s="139"/>
      <c r="D41" s="2" t="s">
        <v>4144</v>
      </c>
      <c r="E41" s="2" t="s">
        <v>3878</v>
      </c>
      <c r="F41" s="79"/>
      <c r="G41" s="82" t="s">
        <v>341</v>
      </c>
    </row>
    <row r="42" spans="2:7" ht="29" outlineLevel="1" x14ac:dyDescent="0.35">
      <c r="B42" s="77"/>
      <c r="C42" s="139"/>
      <c r="D42" s="2" t="s">
        <v>4145</v>
      </c>
      <c r="E42" s="2" t="s">
        <v>4008</v>
      </c>
      <c r="F42" s="79"/>
      <c r="G42" s="82" t="s">
        <v>341</v>
      </c>
    </row>
    <row r="43" spans="2:7" outlineLevel="1" x14ac:dyDescent="0.35">
      <c r="B43" s="77"/>
      <c r="C43" s="139"/>
      <c r="D43" s="2" t="s">
        <v>4146</v>
      </c>
      <c r="E43" s="2" t="s">
        <v>4011</v>
      </c>
      <c r="F43" s="79"/>
      <c r="G43" s="82" t="s">
        <v>341</v>
      </c>
    </row>
    <row r="44" spans="2:7" ht="29" outlineLevel="1" x14ac:dyDescent="0.35">
      <c r="B44" s="77"/>
      <c r="C44" s="139"/>
      <c r="D44" s="2" t="s">
        <v>4302</v>
      </c>
      <c r="E44" s="2" t="s">
        <v>4279</v>
      </c>
      <c r="F44" s="79"/>
      <c r="G44" s="82" t="s">
        <v>341</v>
      </c>
    </row>
    <row r="45" spans="2:7" ht="29" outlineLevel="1" x14ac:dyDescent="0.35">
      <c r="B45" s="77"/>
      <c r="C45" s="139"/>
      <c r="D45" s="2" t="s">
        <v>4309</v>
      </c>
      <c r="E45" s="2" t="s">
        <v>4310</v>
      </c>
      <c r="F45" s="79"/>
      <c r="G45" s="82" t="s">
        <v>341</v>
      </c>
    </row>
    <row r="46" spans="2:7" ht="29" outlineLevel="1" x14ac:dyDescent="0.35">
      <c r="B46" s="77"/>
      <c r="C46" s="139"/>
      <c r="D46" s="2" t="s">
        <v>4147</v>
      </c>
      <c r="E46" s="2" t="s">
        <v>4046</v>
      </c>
      <c r="F46" s="79"/>
      <c r="G46" s="82" t="s">
        <v>341</v>
      </c>
    </row>
    <row r="47" spans="2:7" ht="29" outlineLevel="1" x14ac:dyDescent="0.35">
      <c r="B47" s="77"/>
      <c r="C47" s="139"/>
      <c r="D47" s="2" t="s">
        <v>4148</v>
      </c>
      <c r="E47" s="2" t="s">
        <v>3870</v>
      </c>
      <c r="F47" s="79"/>
      <c r="G47" s="82" t="s">
        <v>341</v>
      </c>
    </row>
    <row r="48" spans="2:7" x14ac:dyDescent="0.35">
      <c r="B48" s="77"/>
      <c r="C48" s="77"/>
      <c r="D48" s="81" t="s">
        <v>4151</v>
      </c>
      <c r="E48" s="2"/>
      <c r="F48" s="79"/>
      <c r="G48" s="78"/>
    </row>
    <row r="49" spans="2:7" ht="29" outlineLevel="1" x14ac:dyDescent="0.35">
      <c r="B49" s="77"/>
      <c r="C49" s="139"/>
      <c r="D49" s="2" t="s">
        <v>4311</v>
      </c>
      <c r="E49" s="2" t="s">
        <v>4320</v>
      </c>
      <c r="F49" s="79"/>
      <c r="G49" s="82" t="s">
        <v>341</v>
      </c>
    </row>
    <row r="50" spans="2:7" ht="87" outlineLevel="1" x14ac:dyDescent="0.35">
      <c r="B50" s="77"/>
      <c r="C50" s="139"/>
      <c r="D50" s="2" t="s">
        <v>4152</v>
      </c>
      <c r="E50" s="2" t="s">
        <v>4163</v>
      </c>
      <c r="F50" s="79"/>
      <c r="G50" s="82" t="s">
        <v>341</v>
      </c>
    </row>
    <row r="51" spans="2:7" ht="43.5" outlineLevel="1" x14ac:dyDescent="0.35">
      <c r="B51" s="77"/>
      <c r="C51" s="139"/>
      <c r="D51" s="2" t="s">
        <v>4312</v>
      </c>
      <c r="E51" s="2" t="s">
        <v>4321</v>
      </c>
      <c r="F51" s="79"/>
      <c r="G51" s="82" t="s">
        <v>341</v>
      </c>
    </row>
    <row r="52" spans="2:7" ht="29" outlineLevel="1" x14ac:dyDescent="0.35">
      <c r="B52" s="77"/>
      <c r="C52" s="139"/>
      <c r="D52" s="2" t="s">
        <v>4283</v>
      </c>
      <c r="E52" s="2" t="s">
        <v>4291</v>
      </c>
      <c r="F52" s="79"/>
      <c r="G52" s="82" t="s">
        <v>341</v>
      </c>
    </row>
    <row r="53" spans="2:7" ht="29" outlineLevel="1" x14ac:dyDescent="0.35">
      <c r="B53" s="77"/>
      <c r="C53" s="139"/>
      <c r="D53" s="2" t="s">
        <v>4284</v>
      </c>
      <c r="E53" s="2" t="s">
        <v>4292</v>
      </c>
      <c r="F53" s="79"/>
      <c r="G53" s="82" t="s">
        <v>341</v>
      </c>
    </row>
    <row r="54" spans="2:7" outlineLevel="1" x14ac:dyDescent="0.35">
      <c r="B54" s="77"/>
      <c r="C54" s="139"/>
      <c r="D54" s="2" t="s">
        <v>4153</v>
      </c>
      <c r="E54" s="2" t="s">
        <v>3260</v>
      </c>
      <c r="F54" s="79"/>
      <c r="G54" s="82" t="s">
        <v>341</v>
      </c>
    </row>
    <row r="55" spans="2:7" ht="58" outlineLevel="1" x14ac:dyDescent="0.35">
      <c r="B55" s="77"/>
      <c r="C55" s="139"/>
      <c r="D55" s="2" t="s">
        <v>4313</v>
      </c>
      <c r="E55" s="2" t="s">
        <v>4322</v>
      </c>
      <c r="F55" s="79"/>
      <c r="G55" s="82" t="s">
        <v>341</v>
      </c>
    </row>
    <row r="56" spans="2:7" ht="87" outlineLevel="1" x14ac:dyDescent="0.35">
      <c r="B56" s="77"/>
      <c r="C56" s="139"/>
      <c r="D56" s="2" t="s">
        <v>4314</v>
      </c>
      <c r="E56" s="2" t="s">
        <v>4323</v>
      </c>
      <c r="F56" s="79"/>
      <c r="G56" s="82" t="s">
        <v>341</v>
      </c>
    </row>
    <row r="57" spans="2:7" outlineLevel="1" x14ac:dyDescent="0.35">
      <c r="B57" s="77"/>
      <c r="C57" s="139"/>
      <c r="D57" s="2" t="s">
        <v>4154</v>
      </c>
      <c r="E57" s="2" t="s">
        <v>4164</v>
      </c>
      <c r="F57" s="79"/>
      <c r="G57" s="82" t="s">
        <v>341</v>
      </c>
    </row>
    <row r="58" spans="2:7" ht="29" outlineLevel="1" x14ac:dyDescent="0.35">
      <c r="B58" s="77"/>
      <c r="C58" s="139"/>
      <c r="D58" s="2" t="s">
        <v>4285</v>
      </c>
      <c r="E58" s="2" t="s">
        <v>4293</v>
      </c>
      <c r="F58" s="79"/>
      <c r="G58" s="82" t="s">
        <v>341</v>
      </c>
    </row>
    <row r="59" spans="2:7" ht="72.5" outlineLevel="1" x14ac:dyDescent="0.35">
      <c r="B59" s="77"/>
      <c r="C59" s="139"/>
      <c r="D59" s="2" t="s">
        <v>4315</v>
      </c>
      <c r="E59" s="2" t="s">
        <v>4324</v>
      </c>
      <c r="F59" s="79"/>
      <c r="G59" s="82" t="s">
        <v>341</v>
      </c>
    </row>
    <row r="60" spans="2:7" outlineLevel="1" x14ac:dyDescent="0.35">
      <c r="B60" s="77"/>
      <c r="C60" s="139"/>
      <c r="D60" s="2" t="s">
        <v>4155</v>
      </c>
      <c r="E60" s="2" t="s">
        <v>3248</v>
      </c>
      <c r="F60" s="79"/>
      <c r="G60" s="82" t="s">
        <v>341</v>
      </c>
    </row>
    <row r="61" spans="2:7" ht="29" outlineLevel="1" x14ac:dyDescent="0.35">
      <c r="B61" s="77"/>
      <c r="C61" s="139"/>
      <c r="D61" s="2" t="s">
        <v>4316</v>
      </c>
      <c r="E61" s="2" t="s">
        <v>4325</v>
      </c>
      <c r="F61" s="79"/>
      <c r="G61" s="82" t="s">
        <v>341</v>
      </c>
    </row>
    <row r="62" spans="2:7" ht="43.5" outlineLevel="1" x14ac:dyDescent="0.35">
      <c r="B62" s="77"/>
      <c r="C62" s="139"/>
      <c r="D62" s="2" t="s">
        <v>4156</v>
      </c>
      <c r="E62" s="2" t="s">
        <v>3314</v>
      </c>
      <c r="F62" s="79"/>
      <c r="G62" s="82" t="s">
        <v>341</v>
      </c>
    </row>
    <row r="63" spans="2:7" outlineLevel="1" x14ac:dyDescent="0.35">
      <c r="B63" s="77"/>
      <c r="C63" s="139"/>
      <c r="D63" s="2" t="s">
        <v>4317</v>
      </c>
      <c r="E63" s="2" t="s">
        <v>4326</v>
      </c>
      <c r="F63" s="79"/>
      <c r="G63" s="82" t="s">
        <v>341</v>
      </c>
    </row>
    <row r="64" spans="2:7" ht="58" outlineLevel="1" x14ac:dyDescent="0.35">
      <c r="B64" s="77"/>
      <c r="C64" s="139"/>
      <c r="D64" s="2" t="s">
        <v>4286</v>
      </c>
      <c r="E64" s="2" t="s">
        <v>4294</v>
      </c>
      <c r="F64" s="79"/>
      <c r="G64" s="82" t="s">
        <v>341</v>
      </c>
    </row>
    <row r="65" spans="2:7" ht="58" outlineLevel="1" x14ac:dyDescent="0.35">
      <c r="B65" s="77"/>
      <c r="C65" s="139"/>
      <c r="D65" s="2" t="s">
        <v>4157</v>
      </c>
      <c r="E65" s="2" t="s">
        <v>4165</v>
      </c>
      <c r="F65" s="79"/>
      <c r="G65" s="82" t="s">
        <v>341</v>
      </c>
    </row>
    <row r="66" spans="2:7" ht="43.5" outlineLevel="1" x14ac:dyDescent="0.35">
      <c r="B66" s="77"/>
      <c r="C66" s="139"/>
      <c r="D66" s="2" t="s">
        <v>4158</v>
      </c>
      <c r="E66" s="2" t="s">
        <v>3731</v>
      </c>
      <c r="F66" s="79"/>
      <c r="G66" s="82" t="s">
        <v>341</v>
      </c>
    </row>
    <row r="67" spans="2:7" outlineLevel="1" x14ac:dyDescent="0.35">
      <c r="B67" s="77"/>
      <c r="C67" s="139"/>
      <c r="D67" s="2" t="s">
        <v>4287</v>
      </c>
      <c r="E67" s="2" t="s">
        <v>4295</v>
      </c>
      <c r="F67" s="79"/>
      <c r="G67" s="82" t="s">
        <v>341</v>
      </c>
    </row>
    <row r="68" spans="2:7" ht="72.5" outlineLevel="1" x14ac:dyDescent="0.35">
      <c r="B68" s="77"/>
      <c r="C68" s="139"/>
      <c r="D68" s="2" t="s">
        <v>4159</v>
      </c>
      <c r="E68" s="2" t="s">
        <v>4166</v>
      </c>
      <c r="F68" s="79"/>
      <c r="G68" s="82" t="s">
        <v>341</v>
      </c>
    </row>
    <row r="69" spans="2:7" ht="43.5" outlineLevel="1" x14ac:dyDescent="0.35">
      <c r="B69" s="77"/>
      <c r="C69" s="139"/>
      <c r="D69" s="2" t="s">
        <v>4160</v>
      </c>
      <c r="E69" s="2" t="s">
        <v>4167</v>
      </c>
      <c r="F69" s="79"/>
      <c r="G69" s="82" t="s">
        <v>341</v>
      </c>
    </row>
    <row r="70" spans="2:7" outlineLevel="1" x14ac:dyDescent="0.35">
      <c r="B70" s="77"/>
      <c r="C70" s="139"/>
      <c r="D70" s="2" t="s">
        <v>4288</v>
      </c>
      <c r="E70" s="2" t="s">
        <v>4296</v>
      </c>
      <c r="F70" s="79"/>
      <c r="G70" s="82" t="s">
        <v>341</v>
      </c>
    </row>
    <row r="71" spans="2:7" ht="43.5" outlineLevel="1" x14ac:dyDescent="0.35">
      <c r="B71" s="77"/>
      <c r="C71" s="139"/>
      <c r="D71" s="2" t="s">
        <v>4318</v>
      </c>
      <c r="E71" s="2" t="s">
        <v>4327</v>
      </c>
      <c r="F71" s="79"/>
      <c r="G71" s="82" t="s">
        <v>341</v>
      </c>
    </row>
    <row r="72" spans="2:7" ht="58" outlineLevel="1" x14ac:dyDescent="0.35">
      <c r="B72" s="77"/>
      <c r="C72" s="139"/>
      <c r="D72" s="2" t="s">
        <v>4319</v>
      </c>
      <c r="E72" s="2" t="s">
        <v>4328</v>
      </c>
      <c r="F72" s="79"/>
      <c r="G72" s="82" t="s">
        <v>341</v>
      </c>
    </row>
    <row r="73" spans="2:7" ht="29" outlineLevel="1" x14ac:dyDescent="0.35">
      <c r="B73" s="77"/>
      <c r="C73" s="139"/>
      <c r="D73" s="2" t="s">
        <v>4289</v>
      </c>
      <c r="E73" s="2" t="s">
        <v>4297</v>
      </c>
      <c r="F73" s="79"/>
      <c r="G73" s="82" t="s">
        <v>341</v>
      </c>
    </row>
    <row r="74" spans="2:7" ht="58" outlineLevel="1" x14ac:dyDescent="0.35">
      <c r="B74" s="77"/>
      <c r="C74" s="139"/>
      <c r="D74" s="2" t="s">
        <v>4290</v>
      </c>
      <c r="E74" s="2" t="s">
        <v>4298</v>
      </c>
      <c r="F74" s="79"/>
      <c r="G74" s="82" t="s">
        <v>341</v>
      </c>
    </row>
    <row r="75" spans="2:7" ht="43.5" outlineLevel="1" x14ac:dyDescent="0.35">
      <c r="B75" s="77"/>
      <c r="C75" s="139"/>
      <c r="D75" s="2" t="s">
        <v>4161</v>
      </c>
      <c r="E75" s="2" t="s">
        <v>3729</v>
      </c>
      <c r="F75" s="79"/>
      <c r="G75" s="82" t="s">
        <v>341</v>
      </c>
    </row>
    <row r="76" spans="2:7" outlineLevel="1" x14ac:dyDescent="0.35">
      <c r="B76" s="77"/>
      <c r="C76" s="139"/>
      <c r="D76" s="2" t="s">
        <v>4162</v>
      </c>
      <c r="E76" s="2" t="s">
        <v>3365</v>
      </c>
      <c r="F76" s="79"/>
      <c r="G76" s="82" t="s">
        <v>341</v>
      </c>
    </row>
    <row r="77" spans="2:7" x14ac:dyDescent="0.35">
      <c r="B77" s="77"/>
      <c r="C77" s="77"/>
      <c r="D77" s="81" t="s">
        <v>4168</v>
      </c>
      <c r="E77" s="2"/>
      <c r="F77" s="79"/>
      <c r="G77" s="78"/>
    </row>
    <row r="78" spans="2:7" ht="29" outlineLevel="1" x14ac:dyDescent="0.35">
      <c r="B78" s="77"/>
      <c r="C78" s="139"/>
      <c r="D78" s="2" t="s">
        <v>4169</v>
      </c>
      <c r="E78" s="2" t="s">
        <v>4177</v>
      </c>
      <c r="F78" s="79"/>
      <c r="G78" s="82" t="s">
        <v>341</v>
      </c>
    </row>
    <row r="79" spans="2:7" ht="43.5" outlineLevel="1" x14ac:dyDescent="0.35">
      <c r="B79" s="77"/>
      <c r="C79" s="139"/>
      <c r="D79" s="2" t="s">
        <v>4170</v>
      </c>
      <c r="E79" s="2" t="s">
        <v>4178</v>
      </c>
      <c r="F79" s="79"/>
      <c r="G79" s="82" t="s">
        <v>341</v>
      </c>
    </row>
    <row r="80" spans="2:7" ht="58" outlineLevel="1" x14ac:dyDescent="0.35">
      <c r="B80" s="77"/>
      <c r="C80" s="139"/>
      <c r="D80" s="2" t="s">
        <v>4171</v>
      </c>
      <c r="E80" s="2" t="s">
        <v>4074</v>
      </c>
      <c r="F80" s="79"/>
      <c r="G80" s="82" t="s">
        <v>341</v>
      </c>
    </row>
    <row r="81" spans="2:7" ht="43.5" outlineLevel="1" x14ac:dyDescent="0.35">
      <c r="B81" s="77"/>
      <c r="C81" s="139"/>
      <c r="D81" s="2" t="s">
        <v>4172</v>
      </c>
      <c r="E81" s="2" t="s">
        <v>4179</v>
      </c>
      <c r="F81" s="79"/>
      <c r="G81" s="82" t="s">
        <v>341</v>
      </c>
    </row>
    <row r="82" spans="2:7" ht="29" outlineLevel="1" x14ac:dyDescent="0.35">
      <c r="B82" s="77"/>
      <c r="C82" s="139"/>
      <c r="D82" s="2" t="s">
        <v>4173</v>
      </c>
      <c r="E82" s="2" t="s">
        <v>4180</v>
      </c>
      <c r="F82" s="79"/>
      <c r="G82" s="82" t="s">
        <v>341</v>
      </c>
    </row>
    <row r="83" spans="2:7" ht="29" outlineLevel="1" x14ac:dyDescent="0.35">
      <c r="B83" s="77"/>
      <c r="C83" s="139"/>
      <c r="D83" s="2" t="s">
        <v>4174</v>
      </c>
      <c r="E83" s="2" t="s">
        <v>4064</v>
      </c>
      <c r="F83" s="79"/>
      <c r="G83" s="82" t="s">
        <v>341</v>
      </c>
    </row>
    <row r="84" spans="2:7" ht="29" outlineLevel="1" x14ac:dyDescent="0.35">
      <c r="B84" s="77"/>
      <c r="C84" s="139"/>
      <c r="D84" s="2" t="s">
        <v>4299</v>
      </c>
      <c r="E84" s="2" t="s">
        <v>4282</v>
      </c>
      <c r="F84" s="79"/>
      <c r="G84" s="82" t="s">
        <v>341</v>
      </c>
    </row>
    <row r="85" spans="2:7" ht="29" outlineLevel="1" x14ac:dyDescent="0.35">
      <c r="B85" s="77"/>
      <c r="C85" s="139"/>
      <c r="D85" s="2" t="s">
        <v>4176</v>
      </c>
      <c r="E85" s="2" t="s">
        <v>4181</v>
      </c>
      <c r="F85" s="79"/>
      <c r="G85" s="82" t="s">
        <v>341</v>
      </c>
    </row>
    <row r="86" spans="2:7" x14ac:dyDescent="0.35">
      <c r="B86" s="77"/>
      <c r="C86" s="77"/>
      <c r="D86" s="81" t="s">
        <v>4329</v>
      </c>
      <c r="E86" s="2"/>
      <c r="F86" s="79"/>
      <c r="G86" s="78"/>
    </row>
    <row r="87" spans="2:7" outlineLevel="1" x14ac:dyDescent="0.35">
      <c r="B87" s="77"/>
      <c r="C87" s="139"/>
      <c r="D87" s="2" t="s">
        <v>4330</v>
      </c>
      <c r="E87" s="2" t="s">
        <v>4337</v>
      </c>
      <c r="F87" s="79"/>
      <c r="G87" s="82" t="s">
        <v>341</v>
      </c>
    </row>
    <row r="88" spans="2:7" outlineLevel="1" x14ac:dyDescent="0.35">
      <c r="B88" s="77"/>
      <c r="C88" s="139"/>
      <c r="D88" s="2" t="s">
        <v>4331</v>
      </c>
      <c r="E88" s="2" t="s">
        <v>4338</v>
      </c>
      <c r="F88" s="79"/>
      <c r="G88" s="82" t="s">
        <v>341</v>
      </c>
    </row>
    <row r="89" spans="2:7" outlineLevel="1" x14ac:dyDescent="0.35">
      <c r="B89" s="77"/>
      <c r="C89" s="139"/>
      <c r="D89" s="2" t="s">
        <v>4371</v>
      </c>
      <c r="E89" s="2" t="s">
        <v>4339</v>
      </c>
      <c r="F89" s="79"/>
      <c r="G89" s="82" t="s">
        <v>341</v>
      </c>
    </row>
    <row r="90" spans="2:7" ht="29" outlineLevel="1" x14ac:dyDescent="0.35">
      <c r="B90" s="77"/>
      <c r="C90" s="139"/>
      <c r="D90" s="2" t="s">
        <v>4332</v>
      </c>
      <c r="E90" s="2" t="s">
        <v>4340</v>
      </c>
      <c r="F90" s="79"/>
      <c r="G90" s="82" t="s">
        <v>341</v>
      </c>
    </row>
    <row r="91" spans="2:7" ht="29" outlineLevel="1" x14ac:dyDescent="0.35">
      <c r="B91" s="77"/>
      <c r="C91" s="139"/>
      <c r="D91" s="2" t="s">
        <v>4333</v>
      </c>
      <c r="E91" s="2" t="s">
        <v>4341</v>
      </c>
      <c r="F91" s="79"/>
      <c r="G91" s="82" t="s">
        <v>341</v>
      </c>
    </row>
    <row r="92" spans="2:7" outlineLevel="1" x14ac:dyDescent="0.35">
      <c r="B92" s="77"/>
      <c r="C92" s="139"/>
      <c r="D92" s="2" t="s">
        <v>4334</v>
      </c>
      <c r="E92" s="2" t="s">
        <v>4342</v>
      </c>
      <c r="F92" s="79"/>
      <c r="G92" s="82" t="s">
        <v>341</v>
      </c>
    </row>
    <row r="93" spans="2:7" outlineLevel="1" x14ac:dyDescent="0.35">
      <c r="B93" s="77"/>
      <c r="C93" s="139"/>
      <c r="D93" s="2" t="s">
        <v>4335</v>
      </c>
      <c r="E93" s="2" t="s">
        <v>4343</v>
      </c>
      <c r="F93" s="79"/>
      <c r="G93" s="82" t="s">
        <v>341</v>
      </c>
    </row>
    <row r="94" spans="2:7" outlineLevel="1" x14ac:dyDescent="0.35">
      <c r="B94" s="77"/>
      <c r="C94" s="139"/>
      <c r="D94" s="2" t="s">
        <v>4336</v>
      </c>
      <c r="E94" s="2" t="s">
        <v>4344</v>
      </c>
      <c r="F94" s="79"/>
      <c r="G94" s="82" t="s">
        <v>341</v>
      </c>
    </row>
    <row r="95" spans="2:7" ht="29" outlineLevel="1" x14ac:dyDescent="0.35">
      <c r="B95" s="77"/>
      <c r="C95" s="139"/>
      <c r="D95" s="2" t="s">
        <v>4369</v>
      </c>
      <c r="E95" s="2" t="s">
        <v>3377</v>
      </c>
      <c r="F95" s="79"/>
      <c r="G95" s="82" t="s">
        <v>341</v>
      </c>
    </row>
    <row r="96" spans="2:7" ht="29" x14ac:dyDescent="0.35">
      <c r="B96" s="77"/>
      <c r="C96" s="77" t="s">
        <v>4586</v>
      </c>
      <c r="D96" s="2"/>
      <c r="E96" s="2"/>
      <c r="F96" s="79"/>
      <c r="G96" s="80">
        <f>COUNTIF(G98:G178,"Yes")</f>
        <v>76</v>
      </c>
    </row>
    <row r="97" spans="2:7" x14ac:dyDescent="0.35">
      <c r="B97" s="77"/>
      <c r="C97" s="77"/>
      <c r="D97" s="81" t="s">
        <v>4519</v>
      </c>
      <c r="E97" s="2"/>
      <c r="F97" s="79"/>
      <c r="G97" s="78"/>
    </row>
    <row r="98" spans="2:7" ht="29" outlineLevel="1" x14ac:dyDescent="0.35">
      <c r="B98" s="77"/>
      <c r="C98" s="139"/>
      <c r="D98" s="2" t="s">
        <v>4520</v>
      </c>
      <c r="E98" s="2" t="s">
        <v>4378</v>
      </c>
      <c r="F98" s="79"/>
      <c r="G98" s="82" t="s">
        <v>341</v>
      </c>
    </row>
    <row r="99" spans="2:7" ht="29" outlineLevel="1" x14ac:dyDescent="0.35">
      <c r="B99" s="77"/>
      <c r="C99" s="139"/>
      <c r="D99" s="2" t="s">
        <v>4521</v>
      </c>
      <c r="E99" s="2" t="s">
        <v>4221</v>
      </c>
      <c r="F99" s="79"/>
      <c r="G99" s="82" t="s">
        <v>341</v>
      </c>
    </row>
    <row r="100" spans="2:7" ht="29" outlineLevel="1" x14ac:dyDescent="0.35">
      <c r="B100" s="77"/>
      <c r="C100" s="139"/>
      <c r="D100" s="2" t="s">
        <v>4522</v>
      </c>
      <c r="E100" s="2" t="s">
        <v>4379</v>
      </c>
      <c r="F100" s="79"/>
      <c r="G100" s="82" t="s">
        <v>341</v>
      </c>
    </row>
    <row r="101" spans="2:7" outlineLevel="1" x14ac:dyDescent="0.35">
      <c r="B101" s="77"/>
      <c r="C101" s="139"/>
      <c r="D101" s="2" t="s">
        <v>4523</v>
      </c>
      <c r="E101" s="2" t="s">
        <v>4380</v>
      </c>
      <c r="F101" s="79"/>
      <c r="G101" s="82" t="s">
        <v>341</v>
      </c>
    </row>
    <row r="102" spans="2:7" ht="29" outlineLevel="1" x14ac:dyDescent="0.35">
      <c r="B102" s="77"/>
      <c r="C102" s="139"/>
      <c r="D102" s="2" t="s">
        <v>4524</v>
      </c>
      <c r="E102" s="2" t="s">
        <v>4273</v>
      </c>
      <c r="F102" s="79"/>
      <c r="G102" s="82" t="s">
        <v>341</v>
      </c>
    </row>
    <row r="103" spans="2:7" ht="43.5" outlineLevel="1" x14ac:dyDescent="0.35">
      <c r="B103" s="77"/>
      <c r="C103" s="139"/>
      <c r="D103" s="2" t="s">
        <v>4525</v>
      </c>
      <c r="E103" s="2" t="s">
        <v>3378</v>
      </c>
      <c r="F103" s="79"/>
      <c r="G103" s="82" t="s">
        <v>341</v>
      </c>
    </row>
    <row r="104" spans="2:7" outlineLevel="1" x14ac:dyDescent="0.35">
      <c r="B104" s="77"/>
      <c r="C104" s="139"/>
      <c r="D104" s="2" t="s">
        <v>4526</v>
      </c>
      <c r="E104" s="2" t="s">
        <v>4136</v>
      </c>
      <c r="F104" s="79"/>
      <c r="G104" s="82" t="s">
        <v>341</v>
      </c>
    </row>
    <row r="105" spans="2:7" ht="29" outlineLevel="1" x14ac:dyDescent="0.35">
      <c r="B105" s="77"/>
      <c r="C105" s="139"/>
      <c r="D105" s="2" t="s">
        <v>4527</v>
      </c>
      <c r="E105" s="2" t="s">
        <v>3377</v>
      </c>
      <c r="F105" s="79"/>
      <c r="G105" s="82" t="s">
        <v>341</v>
      </c>
    </row>
    <row r="106" spans="2:7" ht="29" outlineLevel="1" x14ac:dyDescent="0.35">
      <c r="B106" s="77"/>
      <c r="C106" s="139"/>
      <c r="D106" s="2" t="s">
        <v>4528</v>
      </c>
      <c r="E106" s="2" t="s">
        <v>4381</v>
      </c>
      <c r="F106" s="79"/>
      <c r="G106" s="82" t="s">
        <v>341</v>
      </c>
    </row>
    <row r="107" spans="2:7" ht="29" outlineLevel="1" x14ac:dyDescent="0.35">
      <c r="B107" s="77"/>
      <c r="C107" s="139"/>
      <c r="D107" s="2" t="s">
        <v>4529</v>
      </c>
      <c r="E107" s="2" t="s">
        <v>4382</v>
      </c>
      <c r="F107" s="79"/>
      <c r="G107" s="82" t="s">
        <v>341</v>
      </c>
    </row>
    <row r="108" spans="2:7" ht="29" outlineLevel="1" x14ac:dyDescent="0.35">
      <c r="B108" s="77"/>
      <c r="C108" s="139"/>
      <c r="D108" s="2" t="s">
        <v>4530</v>
      </c>
      <c r="E108" s="2" t="s">
        <v>4420</v>
      </c>
      <c r="F108" s="79"/>
      <c r="G108" s="82" t="s">
        <v>341</v>
      </c>
    </row>
    <row r="109" spans="2:7" ht="29" outlineLevel="1" x14ac:dyDescent="0.35">
      <c r="B109" s="77"/>
      <c r="C109" s="139"/>
      <c r="D109" s="2" t="s">
        <v>4531</v>
      </c>
      <c r="E109" s="2" t="s">
        <v>4383</v>
      </c>
      <c r="F109" s="79"/>
      <c r="G109" s="82" t="s">
        <v>341</v>
      </c>
    </row>
    <row r="110" spans="2:7" ht="29" outlineLevel="1" x14ac:dyDescent="0.35">
      <c r="B110" s="77"/>
      <c r="C110" s="139"/>
      <c r="D110" s="2" t="s">
        <v>4532</v>
      </c>
      <c r="E110" s="2" t="s">
        <v>4277</v>
      </c>
      <c r="F110" s="79"/>
      <c r="G110" s="82" t="s">
        <v>341</v>
      </c>
    </row>
    <row r="111" spans="2:7" ht="29" outlineLevel="1" x14ac:dyDescent="0.35">
      <c r="B111" s="77"/>
      <c r="C111" s="139"/>
      <c r="D111" s="2" t="s">
        <v>4533</v>
      </c>
      <c r="E111" s="2" t="s">
        <v>4278</v>
      </c>
      <c r="F111" s="79"/>
      <c r="G111" s="82" t="s">
        <v>341</v>
      </c>
    </row>
    <row r="112" spans="2:7" ht="29" outlineLevel="1" x14ac:dyDescent="0.35">
      <c r="B112" s="77"/>
      <c r="C112" s="139"/>
      <c r="D112" s="2" t="s">
        <v>4534</v>
      </c>
      <c r="E112" s="2" t="s">
        <v>4279</v>
      </c>
      <c r="F112" s="79"/>
      <c r="G112" s="82" t="s">
        <v>341</v>
      </c>
    </row>
    <row r="113" spans="2:7" ht="29" outlineLevel="1" x14ac:dyDescent="0.35">
      <c r="B113" s="77"/>
      <c r="C113" s="139"/>
      <c r="D113" s="2" t="s">
        <v>4535</v>
      </c>
      <c r="E113" s="2" t="s">
        <v>4310</v>
      </c>
      <c r="F113" s="79"/>
      <c r="G113" s="82" t="s">
        <v>341</v>
      </c>
    </row>
    <row r="114" spans="2:7" ht="29" outlineLevel="1" x14ac:dyDescent="0.35">
      <c r="B114" s="77"/>
      <c r="C114" s="139"/>
      <c r="D114" s="2" t="s">
        <v>4536</v>
      </c>
      <c r="E114" s="2" t="s">
        <v>4280</v>
      </c>
      <c r="F114" s="79"/>
      <c r="G114" s="82" t="s">
        <v>341</v>
      </c>
    </row>
    <row r="115" spans="2:7" ht="29" outlineLevel="1" x14ac:dyDescent="0.35">
      <c r="B115" s="77"/>
      <c r="C115" s="139"/>
      <c r="D115" s="2" t="s">
        <v>4537</v>
      </c>
      <c r="E115" s="2" t="s">
        <v>3380</v>
      </c>
      <c r="F115" s="79"/>
      <c r="G115" s="82" t="s">
        <v>341</v>
      </c>
    </row>
    <row r="116" spans="2:7" ht="29" outlineLevel="1" x14ac:dyDescent="0.35">
      <c r="B116" s="77"/>
      <c r="C116" s="139"/>
      <c r="D116" s="2" t="s">
        <v>4538</v>
      </c>
      <c r="E116" s="2" t="s">
        <v>3899</v>
      </c>
      <c r="F116" s="79"/>
      <c r="G116" s="82" t="s">
        <v>341</v>
      </c>
    </row>
    <row r="117" spans="2:7" outlineLevel="1" x14ac:dyDescent="0.35">
      <c r="B117" s="77"/>
      <c r="C117" s="139"/>
      <c r="D117" s="2" t="s">
        <v>4539</v>
      </c>
      <c r="E117" s="2" t="s">
        <v>4384</v>
      </c>
      <c r="F117" s="79"/>
      <c r="G117" s="82" t="s">
        <v>341</v>
      </c>
    </row>
    <row r="118" spans="2:7" ht="29" outlineLevel="1" x14ac:dyDescent="0.35">
      <c r="B118" s="77"/>
      <c r="C118" s="139"/>
      <c r="D118" s="2" t="s">
        <v>4540</v>
      </c>
      <c r="E118" s="2" t="s">
        <v>4385</v>
      </c>
      <c r="F118" s="79"/>
      <c r="G118" s="82" t="s">
        <v>341</v>
      </c>
    </row>
    <row r="119" spans="2:7" ht="29" outlineLevel="1" x14ac:dyDescent="0.35">
      <c r="B119" s="77"/>
      <c r="C119" s="139"/>
      <c r="D119" s="2" t="s">
        <v>4541</v>
      </c>
      <c r="E119" s="2" t="s">
        <v>3375</v>
      </c>
      <c r="F119" s="79"/>
      <c r="G119" s="82" t="s">
        <v>341</v>
      </c>
    </row>
    <row r="120" spans="2:7" x14ac:dyDescent="0.35">
      <c r="B120" s="77"/>
      <c r="C120" s="77"/>
      <c r="D120" s="81" t="s">
        <v>4542</v>
      </c>
      <c r="E120" s="2"/>
      <c r="F120" s="79"/>
      <c r="G120" s="78"/>
    </row>
    <row r="121" spans="2:7" ht="29" outlineLevel="1" x14ac:dyDescent="0.35">
      <c r="B121" s="77"/>
      <c r="C121" s="139"/>
      <c r="D121" s="2" t="s">
        <v>4543</v>
      </c>
      <c r="E121" s="2" t="s">
        <v>4386</v>
      </c>
      <c r="F121" s="79"/>
      <c r="G121" s="82" t="s">
        <v>341</v>
      </c>
    </row>
    <row r="122" spans="2:7" ht="29" outlineLevel="1" x14ac:dyDescent="0.35">
      <c r="B122" s="77"/>
      <c r="C122" s="139"/>
      <c r="D122" s="2" t="s">
        <v>4544</v>
      </c>
      <c r="E122" s="2" t="s">
        <v>3882</v>
      </c>
      <c r="F122" s="79"/>
      <c r="G122" s="82" t="s">
        <v>341</v>
      </c>
    </row>
    <row r="123" spans="2:7" ht="29" outlineLevel="1" x14ac:dyDescent="0.35">
      <c r="B123" s="77"/>
      <c r="C123" s="139"/>
      <c r="D123" s="2" t="s">
        <v>4545</v>
      </c>
      <c r="E123" s="2" t="s">
        <v>4149</v>
      </c>
      <c r="F123" s="79"/>
      <c r="G123" s="82" t="s">
        <v>341</v>
      </c>
    </row>
    <row r="124" spans="2:7" outlineLevel="1" x14ac:dyDescent="0.35">
      <c r="B124" s="77"/>
      <c r="C124" s="139"/>
      <c r="D124" s="2" t="s">
        <v>4546</v>
      </c>
      <c r="E124" s="2" t="s">
        <v>3874</v>
      </c>
      <c r="F124" s="79"/>
      <c r="G124" s="82" t="s">
        <v>341</v>
      </c>
    </row>
    <row r="125" spans="2:7" ht="29" outlineLevel="1" x14ac:dyDescent="0.35">
      <c r="B125" s="77"/>
      <c r="C125" s="139"/>
      <c r="D125" s="2" t="s">
        <v>4547</v>
      </c>
      <c r="E125" s="2" t="s">
        <v>4150</v>
      </c>
      <c r="F125" s="79"/>
      <c r="G125" s="82" t="s">
        <v>341</v>
      </c>
    </row>
    <row r="126" spans="2:7" outlineLevel="1" x14ac:dyDescent="0.35">
      <c r="B126" s="77"/>
      <c r="C126" s="139"/>
      <c r="D126" s="2" t="s">
        <v>4548</v>
      </c>
      <c r="E126" s="2" t="s">
        <v>4387</v>
      </c>
      <c r="F126" s="79"/>
      <c r="G126" s="82" t="s">
        <v>341</v>
      </c>
    </row>
    <row r="127" spans="2:7" outlineLevel="1" x14ac:dyDescent="0.35">
      <c r="B127" s="77"/>
      <c r="C127" s="139"/>
      <c r="D127" s="2" t="s">
        <v>4549</v>
      </c>
      <c r="E127" s="2" t="s">
        <v>3878</v>
      </c>
      <c r="F127" s="79"/>
      <c r="G127" s="82" t="s">
        <v>341</v>
      </c>
    </row>
    <row r="128" spans="2:7" ht="29" outlineLevel="1" x14ac:dyDescent="0.35">
      <c r="B128" s="77"/>
      <c r="C128" s="139"/>
      <c r="D128" s="2" t="s">
        <v>4550</v>
      </c>
      <c r="E128" s="2" t="s">
        <v>4008</v>
      </c>
      <c r="F128" s="79"/>
      <c r="G128" s="82" t="s">
        <v>341</v>
      </c>
    </row>
    <row r="129" spans="2:7" outlineLevel="1" x14ac:dyDescent="0.35">
      <c r="B129" s="77"/>
      <c r="C129" s="139"/>
      <c r="D129" s="2" t="s">
        <v>4551</v>
      </c>
      <c r="E129" s="2" t="s">
        <v>4011</v>
      </c>
      <c r="F129" s="79"/>
      <c r="G129" s="82" t="s">
        <v>341</v>
      </c>
    </row>
    <row r="130" spans="2:7" ht="29" outlineLevel="1" x14ac:dyDescent="0.35">
      <c r="B130" s="77"/>
      <c r="C130" s="139"/>
      <c r="D130" s="2" t="s">
        <v>4552</v>
      </c>
      <c r="E130" s="2" t="s">
        <v>4388</v>
      </c>
      <c r="F130" s="79"/>
      <c r="G130" s="82" t="s">
        <v>341</v>
      </c>
    </row>
    <row r="131" spans="2:7" ht="29" outlineLevel="1" x14ac:dyDescent="0.35">
      <c r="B131" s="77"/>
      <c r="C131" s="139"/>
      <c r="D131" s="2" t="s">
        <v>4553</v>
      </c>
      <c r="E131" s="2" t="s">
        <v>4389</v>
      </c>
      <c r="F131" s="79"/>
      <c r="G131" s="82" t="s">
        <v>341</v>
      </c>
    </row>
    <row r="132" spans="2:7" ht="29" outlineLevel="1" x14ac:dyDescent="0.35">
      <c r="B132" s="77"/>
      <c r="C132" s="139"/>
      <c r="D132" s="2" t="s">
        <v>4554</v>
      </c>
      <c r="E132" s="2" t="s">
        <v>4279</v>
      </c>
      <c r="F132" s="79"/>
      <c r="G132" s="82" t="s">
        <v>341</v>
      </c>
    </row>
    <row r="133" spans="2:7" ht="29" outlineLevel="1" x14ac:dyDescent="0.35">
      <c r="B133" s="77"/>
      <c r="C133" s="139"/>
      <c r="D133" s="2" t="s">
        <v>4555</v>
      </c>
      <c r="E133" s="2" t="s">
        <v>4310</v>
      </c>
      <c r="F133" s="79"/>
      <c r="G133" s="82" t="s">
        <v>341</v>
      </c>
    </row>
    <row r="134" spans="2:7" ht="29" outlineLevel="1" x14ac:dyDescent="0.35">
      <c r="B134" s="77"/>
      <c r="C134" s="139"/>
      <c r="D134" s="2" t="s">
        <v>4556</v>
      </c>
      <c r="E134" s="2" t="s">
        <v>4273</v>
      </c>
      <c r="F134" s="79"/>
      <c r="G134" s="82" t="s">
        <v>341</v>
      </c>
    </row>
    <row r="135" spans="2:7" outlineLevel="1" x14ac:dyDescent="0.35">
      <c r="B135" s="77"/>
      <c r="C135" s="139"/>
      <c r="D135" s="2" t="s">
        <v>4557</v>
      </c>
      <c r="E135" s="2" t="s">
        <v>4380</v>
      </c>
      <c r="F135" s="79"/>
      <c r="G135" s="82" t="s">
        <v>341</v>
      </c>
    </row>
    <row r="136" spans="2:7" x14ac:dyDescent="0.35">
      <c r="B136" s="77"/>
      <c r="C136" s="77"/>
      <c r="D136" s="81" t="s">
        <v>4558</v>
      </c>
      <c r="E136" s="2"/>
      <c r="F136" s="79"/>
      <c r="G136" s="78"/>
    </row>
    <row r="137" spans="2:7" ht="87" outlineLevel="1" x14ac:dyDescent="0.35">
      <c r="B137" s="77"/>
      <c r="C137" s="139"/>
      <c r="D137" s="2" t="s">
        <v>4559</v>
      </c>
      <c r="E137" s="2" t="s">
        <v>4585</v>
      </c>
      <c r="F137" s="79"/>
      <c r="G137" s="82" t="s">
        <v>341</v>
      </c>
    </row>
    <row r="138" spans="2:7" ht="29" outlineLevel="1" x14ac:dyDescent="0.35">
      <c r="B138" s="77"/>
      <c r="C138" s="139"/>
      <c r="D138" s="2" t="s">
        <v>4560</v>
      </c>
      <c r="E138" s="2" t="s">
        <v>4377</v>
      </c>
      <c r="F138" s="79"/>
      <c r="G138" s="82" t="s">
        <v>341</v>
      </c>
    </row>
    <row r="139" spans="2:7" ht="29" outlineLevel="1" x14ac:dyDescent="0.35">
      <c r="B139" s="77"/>
      <c r="C139" s="139"/>
      <c r="D139" s="2" t="s">
        <v>4561</v>
      </c>
      <c r="E139" s="2" t="s">
        <v>4292</v>
      </c>
      <c r="F139" s="79"/>
      <c r="G139" s="82" t="s">
        <v>341</v>
      </c>
    </row>
    <row r="140" spans="2:7" outlineLevel="1" x14ac:dyDescent="0.35">
      <c r="B140" s="77"/>
      <c r="C140" s="139"/>
      <c r="D140" s="2" t="s">
        <v>4562</v>
      </c>
      <c r="E140" s="2" t="s">
        <v>4421</v>
      </c>
      <c r="F140" s="79"/>
      <c r="G140" s="82" t="s">
        <v>341</v>
      </c>
    </row>
    <row r="141" spans="2:7" outlineLevel="1" x14ac:dyDescent="0.35">
      <c r="B141" s="77"/>
      <c r="C141" s="139"/>
      <c r="D141" s="2" t="s">
        <v>4563</v>
      </c>
      <c r="E141" s="2" t="s">
        <v>4422</v>
      </c>
      <c r="F141" s="79"/>
      <c r="G141" s="82" t="s">
        <v>341</v>
      </c>
    </row>
    <row r="142" spans="2:7" ht="29" outlineLevel="1" x14ac:dyDescent="0.35">
      <c r="B142" s="77"/>
      <c r="C142" s="139"/>
      <c r="D142" s="2" t="s">
        <v>4564</v>
      </c>
      <c r="E142" s="2" t="s">
        <v>4423</v>
      </c>
      <c r="F142" s="79"/>
      <c r="G142" s="82" t="s">
        <v>341</v>
      </c>
    </row>
    <row r="143" spans="2:7" outlineLevel="1" x14ac:dyDescent="0.35">
      <c r="B143" s="77"/>
      <c r="C143" s="139"/>
      <c r="D143" s="2" t="s">
        <v>4565</v>
      </c>
      <c r="E143" s="2" t="s">
        <v>4424</v>
      </c>
      <c r="F143" s="79"/>
      <c r="G143" s="82" t="s">
        <v>341</v>
      </c>
    </row>
    <row r="144" spans="2:7" ht="43.5" outlineLevel="1" x14ac:dyDescent="0.35">
      <c r="B144" s="77"/>
      <c r="C144" s="139"/>
      <c r="D144" s="2" t="s">
        <v>4566</v>
      </c>
      <c r="E144" s="2" t="s">
        <v>4425</v>
      </c>
      <c r="F144" s="79"/>
      <c r="G144" s="82" t="s">
        <v>341</v>
      </c>
    </row>
    <row r="145" spans="2:7" ht="58" outlineLevel="1" x14ac:dyDescent="0.35">
      <c r="B145" s="77"/>
      <c r="C145" s="139"/>
      <c r="D145" s="2" t="s">
        <v>4567</v>
      </c>
      <c r="E145" s="2" t="s">
        <v>4426</v>
      </c>
      <c r="F145" s="79"/>
      <c r="G145" s="82" t="s">
        <v>341</v>
      </c>
    </row>
    <row r="146" spans="2:7" ht="58" outlineLevel="1" x14ac:dyDescent="0.35">
      <c r="B146" s="77"/>
      <c r="C146" s="139"/>
      <c r="D146" s="2" t="s">
        <v>4568</v>
      </c>
      <c r="E146" s="2" t="s">
        <v>4427</v>
      </c>
      <c r="F146" s="79"/>
      <c r="G146" s="82" t="s">
        <v>341</v>
      </c>
    </row>
    <row r="147" spans="2:7" ht="43.5" outlineLevel="1" x14ac:dyDescent="0.35">
      <c r="B147" s="77"/>
      <c r="C147" s="139"/>
      <c r="D147" s="2" t="s">
        <v>4569</v>
      </c>
      <c r="E147" s="2" t="s">
        <v>3731</v>
      </c>
      <c r="F147" s="79"/>
      <c r="G147" s="82" t="s">
        <v>341</v>
      </c>
    </row>
    <row r="148" spans="2:7" outlineLevel="1" x14ac:dyDescent="0.35">
      <c r="B148" s="77"/>
      <c r="C148" s="139"/>
      <c r="D148" s="2" t="s">
        <v>4570</v>
      </c>
      <c r="E148" s="2" t="s">
        <v>4295</v>
      </c>
      <c r="F148" s="79"/>
      <c r="G148" s="82" t="s">
        <v>341</v>
      </c>
    </row>
    <row r="149" spans="2:7" ht="72.5" outlineLevel="1" x14ac:dyDescent="0.35">
      <c r="B149" s="77"/>
      <c r="C149" s="139"/>
      <c r="D149" s="2" t="s">
        <v>4571</v>
      </c>
      <c r="E149" s="2" t="s">
        <v>4428</v>
      </c>
      <c r="F149" s="79"/>
      <c r="G149" s="82" t="s">
        <v>341</v>
      </c>
    </row>
    <row r="150" spans="2:7" ht="29" outlineLevel="1" x14ac:dyDescent="0.35">
      <c r="B150" s="77"/>
      <c r="C150" s="139"/>
      <c r="D150" s="2" t="s">
        <v>4572</v>
      </c>
      <c r="E150" s="2" t="s">
        <v>4429</v>
      </c>
      <c r="F150" s="79"/>
      <c r="G150" s="82" t="s">
        <v>341</v>
      </c>
    </row>
    <row r="151" spans="2:7" ht="29" outlineLevel="1" x14ac:dyDescent="0.35">
      <c r="B151" s="77"/>
      <c r="C151" s="139"/>
      <c r="D151" s="2" t="s">
        <v>4573</v>
      </c>
      <c r="E151" s="2" t="s">
        <v>4430</v>
      </c>
      <c r="F151" s="79"/>
      <c r="G151" s="82" t="s">
        <v>341</v>
      </c>
    </row>
    <row r="152" spans="2:7" outlineLevel="1" x14ac:dyDescent="0.35">
      <c r="B152" s="77"/>
      <c r="C152" s="139"/>
      <c r="D152" s="2" t="s">
        <v>4574</v>
      </c>
      <c r="E152" s="2" t="s">
        <v>4296</v>
      </c>
      <c r="F152" s="79"/>
      <c r="G152" s="82" t="s">
        <v>341</v>
      </c>
    </row>
    <row r="153" spans="2:7" ht="29" outlineLevel="1" x14ac:dyDescent="0.35">
      <c r="B153" s="77"/>
      <c r="C153" s="139"/>
      <c r="D153" s="2" t="s">
        <v>4575</v>
      </c>
      <c r="E153" s="2" t="s">
        <v>4431</v>
      </c>
      <c r="F153" s="79"/>
      <c r="G153" s="82" t="s">
        <v>341</v>
      </c>
    </row>
    <row r="154" spans="2:7" ht="58" outlineLevel="1" x14ac:dyDescent="0.35">
      <c r="B154" s="77"/>
      <c r="C154" s="139"/>
      <c r="D154" s="2" t="s">
        <v>4576</v>
      </c>
      <c r="E154" s="2" t="s">
        <v>4298</v>
      </c>
      <c r="F154" s="79"/>
      <c r="G154" s="82" t="s">
        <v>341</v>
      </c>
    </row>
    <row r="155" spans="2:7" ht="43.5" outlineLevel="1" x14ac:dyDescent="0.35">
      <c r="B155" s="77"/>
      <c r="C155" s="139"/>
      <c r="D155" s="2" t="s">
        <v>4577</v>
      </c>
      <c r="E155" s="2" t="s">
        <v>3729</v>
      </c>
      <c r="F155" s="79"/>
      <c r="G155" s="82" t="s">
        <v>341</v>
      </c>
    </row>
    <row r="156" spans="2:7" ht="43.5" outlineLevel="1" x14ac:dyDescent="0.35">
      <c r="B156" s="77"/>
      <c r="C156" s="139"/>
      <c r="D156" s="2" t="s">
        <v>4578</v>
      </c>
      <c r="E156" s="2" t="s">
        <v>4167</v>
      </c>
      <c r="F156" s="79"/>
      <c r="G156" s="82" t="s">
        <v>341</v>
      </c>
    </row>
    <row r="157" spans="2:7" outlineLevel="1" x14ac:dyDescent="0.35">
      <c r="B157" s="77"/>
      <c r="C157" s="139"/>
      <c r="D157" s="2" t="s">
        <v>4579</v>
      </c>
      <c r="E157" s="2" t="s">
        <v>3365</v>
      </c>
      <c r="F157" s="79"/>
      <c r="G157" s="82" t="s">
        <v>341</v>
      </c>
    </row>
    <row r="158" spans="2:7" x14ac:dyDescent="0.35">
      <c r="B158" s="77"/>
      <c r="C158" s="77"/>
      <c r="D158" s="81" t="s">
        <v>4580</v>
      </c>
      <c r="E158" s="2"/>
      <c r="G158" s="2"/>
    </row>
    <row r="159" spans="2:7" outlineLevel="1" x14ac:dyDescent="0.35">
      <c r="B159" s="77"/>
      <c r="C159" s="139"/>
      <c r="D159" s="2" t="s">
        <v>4581</v>
      </c>
      <c r="E159" s="2" t="s">
        <v>4432</v>
      </c>
      <c r="F159" s="79"/>
      <c r="G159" s="82" t="s">
        <v>341</v>
      </c>
    </row>
    <row r="160" spans="2:7" ht="29" outlineLevel="1" x14ac:dyDescent="0.35">
      <c r="B160" s="77"/>
      <c r="C160" s="139"/>
      <c r="D160" s="2" t="s">
        <v>4582</v>
      </c>
      <c r="E160" s="2" t="s">
        <v>3377</v>
      </c>
      <c r="F160" s="79"/>
      <c r="G160" s="82" t="s">
        <v>341</v>
      </c>
    </row>
    <row r="161" spans="2:7" outlineLevel="1" x14ac:dyDescent="0.35">
      <c r="B161" s="77"/>
      <c r="C161" s="139"/>
      <c r="D161" s="2" t="s">
        <v>4583</v>
      </c>
      <c r="E161" s="2" t="s">
        <v>4433</v>
      </c>
      <c r="F161" s="79"/>
      <c r="G161" s="82" t="s">
        <v>341</v>
      </c>
    </row>
    <row r="162" spans="2:7" outlineLevel="1" x14ac:dyDescent="0.35">
      <c r="B162" s="77"/>
      <c r="C162" s="139"/>
      <c r="D162" s="2" t="s">
        <v>4584</v>
      </c>
      <c r="E162" s="2" t="s">
        <v>4434</v>
      </c>
      <c r="F162" s="79"/>
      <c r="G162" s="82" t="s">
        <v>341</v>
      </c>
    </row>
    <row r="163" spans="2:7" x14ac:dyDescent="0.35">
      <c r="B163" s="77"/>
      <c r="C163" s="77"/>
      <c r="D163" s="81" t="s">
        <v>4510</v>
      </c>
      <c r="E163" s="2"/>
      <c r="G163" s="2"/>
    </row>
    <row r="164" spans="2:7" ht="29" outlineLevel="1" x14ac:dyDescent="0.35">
      <c r="B164" s="77"/>
      <c r="C164" s="139"/>
      <c r="D164" s="2" t="s">
        <v>4626</v>
      </c>
      <c r="E164" s="2" t="s">
        <v>4627</v>
      </c>
      <c r="F164" s="79"/>
      <c r="G164" s="82" t="s">
        <v>341</v>
      </c>
    </row>
    <row r="165" spans="2:7" ht="18.5" customHeight="1" outlineLevel="1" x14ac:dyDescent="0.35">
      <c r="B165" s="77"/>
      <c r="C165" s="139"/>
      <c r="D165" s="2" t="s">
        <v>4591</v>
      </c>
      <c r="E165" s="2" t="s">
        <v>4592</v>
      </c>
      <c r="F165" s="79"/>
      <c r="G165" s="82" t="s">
        <v>341</v>
      </c>
    </row>
    <row r="166" spans="2:7" ht="14.5" customHeight="1" outlineLevel="1" x14ac:dyDescent="0.35">
      <c r="B166" s="77"/>
      <c r="C166" s="139"/>
      <c r="D166" s="2" t="s">
        <v>4511</v>
      </c>
      <c r="E166" s="2" t="s">
        <v>4515</v>
      </c>
      <c r="F166" s="79"/>
      <c r="G166" s="82" t="s">
        <v>341</v>
      </c>
    </row>
    <row r="167" spans="2:7" ht="43.5" outlineLevel="1" x14ac:dyDescent="0.35">
      <c r="B167" s="77"/>
      <c r="C167" s="139"/>
      <c r="D167" s="2" t="s">
        <v>4593</v>
      </c>
      <c r="E167" s="2" t="s">
        <v>4594</v>
      </c>
      <c r="F167" s="79"/>
      <c r="G167" s="82" t="s">
        <v>341</v>
      </c>
    </row>
    <row r="168" spans="2:7" ht="43.5" outlineLevel="1" x14ac:dyDescent="0.35">
      <c r="B168" s="77"/>
      <c r="C168" s="139"/>
      <c r="D168" s="2" t="s">
        <v>4595</v>
      </c>
      <c r="E168" s="2" t="s">
        <v>4596</v>
      </c>
      <c r="F168" s="79"/>
      <c r="G168" s="82" t="s">
        <v>341</v>
      </c>
    </row>
    <row r="169" spans="2:7" ht="19.5" customHeight="1" outlineLevel="1" x14ac:dyDescent="0.35">
      <c r="B169" s="77"/>
      <c r="C169" s="139"/>
      <c r="D169" s="2" t="s">
        <v>4512</v>
      </c>
      <c r="E169" s="2" t="s">
        <v>4516</v>
      </c>
      <c r="F169" s="79"/>
      <c r="G169" s="82" t="s">
        <v>341</v>
      </c>
    </row>
    <row r="170" spans="2:7" ht="16.5" customHeight="1" outlineLevel="1" x14ac:dyDescent="0.35">
      <c r="B170" s="77"/>
      <c r="C170" s="139"/>
      <c r="D170" s="2" t="s">
        <v>4513</v>
      </c>
      <c r="E170" s="2" t="s">
        <v>4517</v>
      </c>
      <c r="F170" s="79"/>
      <c r="G170" s="82" t="s">
        <v>341</v>
      </c>
    </row>
    <row r="171" spans="2:7" ht="43.5" outlineLevel="1" x14ac:dyDescent="0.35">
      <c r="B171" s="77"/>
      <c r="C171" s="139"/>
      <c r="D171" s="2" t="s">
        <v>4597</v>
      </c>
      <c r="E171" s="2" t="s">
        <v>4598</v>
      </c>
      <c r="F171" s="79"/>
      <c r="G171" s="82" t="s">
        <v>341</v>
      </c>
    </row>
    <row r="172" spans="2:7" ht="29" outlineLevel="1" x14ac:dyDescent="0.35">
      <c r="B172" s="77"/>
      <c r="C172" s="139"/>
      <c r="D172" s="2" t="s">
        <v>4514</v>
      </c>
      <c r="E172" s="2" t="s">
        <v>4518</v>
      </c>
      <c r="F172" s="79"/>
      <c r="G172" s="82" t="s">
        <v>341</v>
      </c>
    </row>
    <row r="173" spans="2:7" ht="29" outlineLevel="1" x14ac:dyDescent="0.35">
      <c r="B173" s="77"/>
      <c r="C173" s="139"/>
      <c r="D173" s="2" t="s">
        <v>4599</v>
      </c>
      <c r="E173" s="2" t="s">
        <v>4600</v>
      </c>
      <c r="F173" s="79"/>
      <c r="G173" s="82" t="s">
        <v>341</v>
      </c>
    </row>
    <row r="174" spans="2:7" ht="21" customHeight="1" outlineLevel="1" x14ac:dyDescent="0.35">
      <c r="B174" s="77"/>
      <c r="C174" s="139"/>
      <c r="D174" s="2" t="s">
        <v>4601</v>
      </c>
      <c r="E174" s="2" t="s">
        <v>4628</v>
      </c>
      <c r="F174" s="79"/>
      <c r="G174" s="82" t="s">
        <v>341</v>
      </c>
    </row>
    <row r="175" spans="2:7" outlineLevel="1" x14ac:dyDescent="0.35">
      <c r="B175" s="77"/>
      <c r="C175" s="139"/>
      <c r="D175" s="2" t="s">
        <v>4590</v>
      </c>
      <c r="E175" s="2" t="s">
        <v>4629</v>
      </c>
      <c r="F175" s="79"/>
      <c r="G175" s="82" t="s">
        <v>341</v>
      </c>
    </row>
    <row r="176" spans="2:7" ht="29" outlineLevel="1" x14ac:dyDescent="0.35">
      <c r="B176" s="77"/>
      <c r="C176" s="139"/>
      <c r="D176" s="2" t="s">
        <v>4602</v>
      </c>
      <c r="E176" s="2" t="s">
        <v>4606</v>
      </c>
      <c r="F176" s="79"/>
      <c r="G176" s="82" t="s">
        <v>341</v>
      </c>
    </row>
    <row r="177" spans="2:7" x14ac:dyDescent="0.35">
      <c r="B177" s="77"/>
      <c r="C177" s="77"/>
      <c r="D177" s="81" t="s">
        <v>4605</v>
      </c>
      <c r="E177" s="2"/>
      <c r="G177" s="2"/>
    </row>
    <row r="178" spans="2:7" ht="29" outlineLevel="1" x14ac:dyDescent="0.35">
      <c r="B178" s="77"/>
      <c r="C178" s="139"/>
      <c r="D178" s="2" t="s">
        <v>4603</v>
      </c>
      <c r="E178" s="2" t="s">
        <v>4604</v>
      </c>
      <c r="F178" s="79"/>
      <c r="G178" s="82" t="s">
        <v>341</v>
      </c>
    </row>
  </sheetData>
  <mergeCells count="2">
    <mergeCell ref="G3:G4"/>
    <mergeCell ref="B6:E6"/>
  </mergeCells>
  <dataValidations count="1">
    <dataValidation type="list" allowBlank="1" showInputMessage="1" showErrorMessage="1" sqref="G11:G31 G49:G95 G33:G47 G121:G135 G137:G157 G98:G119 G159:G162 G164:G176 G178" xr:uid="{15D422C4-27DA-47E6-B67B-8B45D6D74F76}">
      <formula1>"Yes, No"</formula1>
    </dataValidation>
  </dataValidations>
  <pageMargins left="0.7" right="0.7" top="0.75" bottom="0.75" header="0.3" footer="0.3"/>
  <pageSetup paperSize="9" orientation="portrait" verticalDpi="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293276"/>
  </sheetPr>
  <dimension ref="B1:H58"/>
  <sheetViews>
    <sheetView showGridLines="0" zoomScale="80" zoomScaleNormal="80" workbookViewId="0">
      <selection activeCell="C2" sqref="C2"/>
    </sheetView>
  </sheetViews>
  <sheetFormatPr defaultColWidth="9.1796875" defaultRowHeight="14.5" outlineLevelRow="1" x14ac:dyDescent="0.35"/>
  <cols>
    <col min="1" max="1" width="2.1796875" style="79" customWidth="1"/>
    <col min="2" max="3" width="30.6328125" style="79" customWidth="1"/>
    <col min="4" max="4" width="50.6328125" style="96" customWidth="1"/>
    <col min="5" max="5" width="76.6328125" style="96" customWidth="1"/>
    <col min="6" max="6" width="2.1796875" style="79" customWidth="1"/>
    <col min="7" max="7" width="9.1796875" style="98"/>
    <col min="8" max="16384" width="9.1796875" style="79"/>
  </cols>
  <sheetData>
    <row r="1" spans="2:8" s="58" customFormat="1" ht="18.5" customHeight="1" x14ac:dyDescent="0.5">
      <c r="B1" s="61"/>
      <c r="C1" s="69"/>
      <c r="D1" s="69"/>
      <c r="E1" s="100"/>
      <c r="G1" s="9"/>
    </row>
    <row r="2" spans="2:8" s="58" customFormat="1" ht="14.5" customHeight="1" x14ac:dyDescent="0.35">
      <c r="B2" s="151"/>
      <c r="C2" s="151"/>
      <c r="D2" s="15" t="s">
        <v>41</v>
      </c>
      <c r="E2" s="15" t="s">
        <v>4445</v>
      </c>
      <c r="G2" s="13" t="s">
        <v>342</v>
      </c>
    </row>
    <row r="3" spans="2:8" s="58" customFormat="1" ht="14.5" customHeight="1" x14ac:dyDescent="0.35">
      <c r="B3" s="151"/>
      <c r="C3" s="151"/>
      <c r="D3" s="11" t="s">
        <v>226</v>
      </c>
      <c r="E3" s="11">
        <f>COUNTIF(E8:E30,"*")</f>
        <v>19</v>
      </c>
      <c r="G3" s="185">
        <f>COUNTIF(G8:G30,"Yes")</f>
        <v>19</v>
      </c>
    </row>
    <row r="4" spans="2:8" s="58" customFormat="1" ht="14.5" customHeight="1" x14ac:dyDescent="0.35">
      <c r="B4" s="151"/>
      <c r="C4" s="151"/>
      <c r="D4" s="15" t="s">
        <v>79</v>
      </c>
      <c r="E4" s="15" t="str">
        <f>'(6) Online Channels'!E4</f>
        <v>R25 Model Bank</v>
      </c>
      <c r="G4" s="186"/>
    </row>
    <row r="5" spans="2:8" ht="18.5" customHeight="1" x14ac:dyDescent="0.35">
      <c r="E5" s="15"/>
      <c r="G5" s="9"/>
    </row>
    <row r="6" spans="2:8" x14ac:dyDescent="0.35">
      <c r="B6" s="197"/>
      <c r="C6" s="198"/>
      <c r="D6" s="198"/>
      <c r="E6" s="117"/>
      <c r="G6" s="18" t="s">
        <v>340</v>
      </c>
      <c r="H6" s="74"/>
    </row>
    <row r="7" spans="2:8" x14ac:dyDescent="0.35">
      <c r="B7" s="75" t="s">
        <v>83</v>
      </c>
      <c r="C7" s="75" t="s">
        <v>86</v>
      </c>
      <c r="D7" s="75" t="s">
        <v>87</v>
      </c>
      <c r="E7" s="75" t="s">
        <v>54</v>
      </c>
      <c r="G7" s="76" t="s">
        <v>342</v>
      </c>
    </row>
    <row r="8" spans="2:8" ht="29" x14ac:dyDescent="0.35">
      <c r="B8" s="77" t="s">
        <v>4445</v>
      </c>
      <c r="C8" s="77"/>
      <c r="D8" s="2"/>
      <c r="E8" s="2"/>
      <c r="G8" s="29"/>
    </row>
    <row r="9" spans="2:8" x14ac:dyDescent="0.35">
      <c r="B9" s="77"/>
      <c r="C9" s="77" t="s">
        <v>4446</v>
      </c>
      <c r="D9" s="2"/>
      <c r="E9" s="2"/>
      <c r="G9" s="23">
        <f>COUNTIF(G10:G12,"Yes")</f>
        <v>3</v>
      </c>
      <c r="H9" s="74"/>
    </row>
    <row r="10" spans="2:8" ht="43.5" outlineLevel="1" x14ac:dyDescent="0.35">
      <c r="B10" s="77"/>
      <c r="C10" s="77"/>
      <c r="D10" s="2" t="s">
        <v>4447</v>
      </c>
      <c r="E10" s="2" t="s">
        <v>4448</v>
      </c>
      <c r="F10" s="62"/>
      <c r="G10" s="26" t="s">
        <v>341</v>
      </c>
    </row>
    <row r="11" spans="2:8" ht="29" outlineLevel="1" x14ac:dyDescent="0.35">
      <c r="B11" s="77"/>
      <c r="C11" s="77"/>
      <c r="D11" s="2" t="s">
        <v>4499</v>
      </c>
      <c r="E11" s="2" t="s">
        <v>4501</v>
      </c>
      <c r="F11" s="62"/>
      <c r="G11" s="26" t="s">
        <v>341</v>
      </c>
    </row>
    <row r="12" spans="2:8" ht="29" outlineLevel="1" x14ac:dyDescent="0.35">
      <c r="B12" s="77"/>
      <c r="C12" s="77"/>
      <c r="D12" s="2" t="s">
        <v>4500</v>
      </c>
      <c r="E12" s="2" t="s">
        <v>4502</v>
      </c>
      <c r="F12" s="62"/>
      <c r="G12" s="26" t="s">
        <v>341</v>
      </c>
    </row>
    <row r="13" spans="2:8" x14ac:dyDescent="0.35">
      <c r="B13" s="77"/>
      <c r="C13" s="77" t="s">
        <v>4503</v>
      </c>
      <c r="D13" s="2"/>
      <c r="E13" s="2"/>
      <c r="G13" s="23">
        <f>COUNTIF(G14:G25,"Yes")</f>
        <v>12</v>
      </c>
      <c r="H13" s="74"/>
    </row>
    <row r="14" spans="2:8" ht="87" outlineLevel="1" x14ac:dyDescent="0.35">
      <c r="B14" s="77"/>
      <c r="C14" s="77"/>
      <c r="D14" s="2" t="s">
        <v>4607</v>
      </c>
      <c r="E14" s="2" t="s">
        <v>4610</v>
      </c>
      <c r="F14" s="62"/>
      <c r="G14" s="26" t="s">
        <v>341</v>
      </c>
    </row>
    <row r="15" spans="2:8" ht="87" outlineLevel="1" x14ac:dyDescent="0.35">
      <c r="B15" s="77"/>
      <c r="C15" s="77"/>
      <c r="D15" s="2" t="s">
        <v>4608</v>
      </c>
      <c r="E15" s="2" t="s">
        <v>4611</v>
      </c>
      <c r="F15" s="62"/>
      <c r="G15" s="26" t="s">
        <v>341</v>
      </c>
    </row>
    <row r="16" spans="2:8" ht="87" outlineLevel="1" x14ac:dyDescent="0.35">
      <c r="B16" s="77"/>
      <c r="C16" s="77"/>
      <c r="D16" s="2" t="s">
        <v>4587</v>
      </c>
      <c r="E16" s="2" t="s">
        <v>4504</v>
      </c>
      <c r="F16" s="62"/>
      <c r="G16" s="26" t="s">
        <v>341</v>
      </c>
    </row>
    <row r="17" spans="2:8" ht="87" outlineLevel="1" x14ac:dyDescent="0.35">
      <c r="B17" s="77"/>
      <c r="C17" s="77"/>
      <c r="D17" s="2" t="s">
        <v>4588</v>
      </c>
      <c r="E17" s="2" t="s">
        <v>4505</v>
      </c>
      <c r="F17" s="62"/>
      <c r="G17" s="26" t="s">
        <v>341</v>
      </c>
    </row>
    <row r="18" spans="2:8" ht="29" outlineLevel="1" x14ac:dyDescent="0.35">
      <c r="B18" s="77"/>
      <c r="C18" s="77"/>
      <c r="D18" s="2" t="s">
        <v>4609</v>
      </c>
      <c r="E18" s="2" t="s">
        <v>4612</v>
      </c>
      <c r="F18" s="62"/>
      <c r="G18" s="26" t="s">
        <v>341</v>
      </c>
    </row>
    <row r="19" spans="2:8" ht="29" outlineLevel="1" x14ac:dyDescent="0.35">
      <c r="B19" s="77"/>
      <c r="C19" s="77"/>
      <c r="D19" s="2" t="s">
        <v>4732</v>
      </c>
      <c r="E19" s="2" t="s">
        <v>4735</v>
      </c>
      <c r="F19" s="62"/>
      <c r="G19" s="26" t="s">
        <v>341</v>
      </c>
    </row>
    <row r="20" spans="2:8" ht="29" outlineLevel="1" x14ac:dyDescent="0.35">
      <c r="B20" s="77"/>
      <c r="C20" s="77"/>
      <c r="D20" s="2" t="s">
        <v>4645</v>
      </c>
      <c r="E20" s="2" t="s">
        <v>4651</v>
      </c>
      <c r="F20" s="62"/>
      <c r="G20" s="26" t="s">
        <v>341</v>
      </c>
    </row>
    <row r="21" spans="2:8" ht="29" outlineLevel="1" x14ac:dyDescent="0.35">
      <c r="B21" s="77"/>
      <c r="C21" s="77"/>
      <c r="D21" s="2" t="s">
        <v>4642</v>
      </c>
      <c r="E21" s="2" t="s">
        <v>4652</v>
      </c>
      <c r="F21" s="62"/>
      <c r="G21" s="26" t="s">
        <v>341</v>
      </c>
    </row>
    <row r="22" spans="2:8" ht="29" outlineLevel="1" x14ac:dyDescent="0.35">
      <c r="B22" s="77"/>
      <c r="C22" s="77"/>
      <c r="D22" s="2" t="s">
        <v>4733</v>
      </c>
      <c r="E22" s="2" t="s">
        <v>4736</v>
      </c>
      <c r="F22" s="62"/>
      <c r="G22" s="26" t="s">
        <v>341</v>
      </c>
    </row>
    <row r="23" spans="2:8" outlineLevel="1" x14ac:dyDescent="0.35">
      <c r="B23" s="77"/>
      <c r="C23" s="77"/>
      <c r="D23" s="2" t="s">
        <v>4644</v>
      </c>
      <c r="E23" s="2" t="s">
        <v>4653</v>
      </c>
      <c r="F23" s="62"/>
      <c r="G23" s="26" t="s">
        <v>341</v>
      </c>
    </row>
    <row r="24" spans="2:8" outlineLevel="1" x14ac:dyDescent="0.35">
      <c r="B24" s="77"/>
      <c r="C24" s="77"/>
      <c r="D24" s="2" t="s">
        <v>4643</v>
      </c>
      <c r="E24" s="2" t="s">
        <v>4654</v>
      </c>
      <c r="F24" s="62"/>
      <c r="G24" s="26" t="s">
        <v>341</v>
      </c>
    </row>
    <row r="25" spans="2:8" ht="29" outlineLevel="1" x14ac:dyDescent="0.35">
      <c r="B25" s="77"/>
      <c r="C25" s="77"/>
      <c r="D25" s="2" t="s">
        <v>4734</v>
      </c>
      <c r="E25" s="2" t="s">
        <v>4737</v>
      </c>
      <c r="F25" s="62"/>
      <c r="G25" s="26" t="s">
        <v>341</v>
      </c>
    </row>
    <row r="26" spans="2:8" x14ac:dyDescent="0.35">
      <c r="B26" s="77"/>
      <c r="C26" s="77" t="s">
        <v>4738</v>
      </c>
      <c r="D26" s="2"/>
      <c r="E26" s="2"/>
      <c r="G26" s="23">
        <f>COUNTIF(G27:G35,"Yes")</f>
        <v>4</v>
      </c>
      <c r="H26" s="74"/>
    </row>
    <row r="27" spans="2:8" ht="29" outlineLevel="1" x14ac:dyDescent="0.35">
      <c r="B27" s="77"/>
      <c r="C27" s="77"/>
      <c r="D27" s="2" t="s">
        <v>4739</v>
      </c>
      <c r="E27" s="2" t="s">
        <v>4741</v>
      </c>
      <c r="F27" s="62"/>
      <c r="G27" s="26" t="s">
        <v>341</v>
      </c>
    </row>
    <row r="28" spans="2:8" ht="29" outlineLevel="1" x14ac:dyDescent="0.35">
      <c r="B28" s="77"/>
      <c r="C28" s="77"/>
      <c r="D28" s="2" t="s">
        <v>4740</v>
      </c>
      <c r="E28" s="2" t="s">
        <v>4742</v>
      </c>
      <c r="F28" s="62"/>
      <c r="G28" s="26" t="s">
        <v>341</v>
      </c>
    </row>
    <row r="29" spans="2:8" ht="29" outlineLevel="1" x14ac:dyDescent="0.35">
      <c r="B29" s="77"/>
      <c r="C29" s="77"/>
      <c r="D29" s="2" t="s">
        <v>5391</v>
      </c>
      <c r="E29" s="2" t="s">
        <v>5392</v>
      </c>
      <c r="F29" s="62"/>
      <c r="G29" s="26" t="s">
        <v>341</v>
      </c>
    </row>
    <row r="30" spans="2:8" x14ac:dyDescent="0.35">
      <c r="B30" s="77"/>
      <c r="C30" s="77"/>
      <c r="D30" s="2" t="s">
        <v>5498</v>
      </c>
      <c r="E30" s="2" t="s">
        <v>5499</v>
      </c>
      <c r="F30" s="62"/>
      <c r="G30" s="26" t="s">
        <v>341</v>
      </c>
    </row>
    <row r="31" spans="2:8" x14ac:dyDescent="0.35">
      <c r="G31" s="8"/>
    </row>
    <row r="32" spans="2:8" x14ac:dyDescent="0.35">
      <c r="G32" s="116"/>
    </row>
    <row r="33" spans="7:7" x14ac:dyDescent="0.35">
      <c r="G33" s="8"/>
    </row>
    <row r="34" spans="7:7" x14ac:dyDescent="0.35">
      <c r="G34" s="8"/>
    </row>
    <row r="35" spans="7:7" x14ac:dyDescent="0.35">
      <c r="G35" s="8"/>
    </row>
    <row r="36" spans="7:7" x14ac:dyDescent="0.35">
      <c r="G36" s="116"/>
    </row>
    <row r="37" spans="7:7" x14ac:dyDescent="0.35">
      <c r="G37" s="8"/>
    </row>
    <row r="38" spans="7:7" x14ac:dyDescent="0.35">
      <c r="G38" s="8"/>
    </row>
    <row r="39" spans="7:7" x14ac:dyDescent="0.35">
      <c r="G39" s="8"/>
    </row>
    <row r="40" spans="7:7" x14ac:dyDescent="0.35">
      <c r="G40" s="8"/>
    </row>
    <row r="41" spans="7:7" x14ac:dyDescent="0.35">
      <c r="G41" s="8"/>
    </row>
    <row r="42" spans="7:7" x14ac:dyDescent="0.35">
      <c r="G42" s="115"/>
    </row>
    <row r="43" spans="7:7" x14ac:dyDescent="0.35">
      <c r="G43" s="116"/>
    </row>
    <row r="44" spans="7:7" x14ac:dyDescent="0.35">
      <c r="G44" s="8"/>
    </row>
    <row r="45" spans="7:7" x14ac:dyDescent="0.35">
      <c r="G45" s="116"/>
    </row>
    <row r="46" spans="7:7" x14ac:dyDescent="0.35">
      <c r="G46" s="8"/>
    </row>
    <row r="47" spans="7:7" x14ac:dyDescent="0.35">
      <c r="G47" s="8"/>
    </row>
    <row r="48" spans="7:7" x14ac:dyDescent="0.35">
      <c r="G48" s="116"/>
    </row>
    <row r="49" spans="7:7" x14ac:dyDescent="0.35">
      <c r="G49" s="8"/>
    </row>
    <row r="50" spans="7:7" x14ac:dyDescent="0.35">
      <c r="G50" s="8"/>
    </row>
    <row r="51" spans="7:7" x14ac:dyDescent="0.35">
      <c r="G51" s="90"/>
    </row>
    <row r="52" spans="7:7" x14ac:dyDescent="0.35">
      <c r="G52" s="90"/>
    </row>
    <row r="53" spans="7:7" x14ac:dyDescent="0.35">
      <c r="G53" s="90"/>
    </row>
    <row r="54" spans="7:7" x14ac:dyDescent="0.35">
      <c r="G54" s="90"/>
    </row>
    <row r="55" spans="7:7" x14ac:dyDescent="0.35">
      <c r="G55" s="90"/>
    </row>
    <row r="56" spans="7:7" x14ac:dyDescent="0.35">
      <c r="G56" s="90"/>
    </row>
    <row r="57" spans="7:7" x14ac:dyDescent="0.35">
      <c r="G57" s="90"/>
    </row>
    <row r="58" spans="7:7" x14ac:dyDescent="0.35">
      <c r="G58" s="90"/>
    </row>
  </sheetData>
  <mergeCells count="2">
    <mergeCell ref="B6:D6"/>
    <mergeCell ref="G3:G4"/>
  </mergeCells>
  <dataValidations count="1">
    <dataValidation type="list" allowBlank="1" showInputMessage="1" showErrorMessage="1" sqref="G10:G12 G33:G35 G49:G50 G37:G41 G44 G46:G47 G14:G25 G27:G31" xr:uid="{00000000-0002-0000-0A00-000000000000}">
      <formula1>"Yes, No"</formula1>
    </dataValidation>
  </dataValidation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AB805-2882-46E4-B1BC-676E56F278F6}">
  <sheetPr>
    <tabColor rgb="FF293276"/>
  </sheetPr>
  <dimension ref="B1:H301"/>
  <sheetViews>
    <sheetView showGridLines="0" zoomScale="80" zoomScaleNormal="80" workbookViewId="0">
      <selection activeCell="C2" sqref="C2"/>
    </sheetView>
  </sheetViews>
  <sheetFormatPr defaultColWidth="9.1796875" defaultRowHeight="14.5" outlineLevelRow="1" x14ac:dyDescent="0.35"/>
  <cols>
    <col min="1" max="1" width="2.1796875" style="79" customWidth="1"/>
    <col min="2" max="3" width="30.6328125" style="79" customWidth="1"/>
    <col min="4" max="4" width="50.6328125" style="96" customWidth="1"/>
    <col min="5" max="5" width="76.6328125" style="96" customWidth="1"/>
    <col min="6" max="6" width="2.1796875" style="79" customWidth="1"/>
    <col min="7" max="7" width="9.1796875" style="98"/>
    <col min="8" max="16384" width="9.1796875" style="79"/>
  </cols>
  <sheetData>
    <row r="1" spans="2:8" s="58" customFormat="1" ht="18.5" customHeight="1" x14ac:dyDescent="0.5">
      <c r="B1" s="61"/>
      <c r="C1" s="69"/>
      <c r="D1" s="69"/>
      <c r="E1" s="100"/>
      <c r="G1" s="9"/>
    </row>
    <row r="2" spans="2:8" s="58" customFormat="1" ht="14.5" customHeight="1" x14ac:dyDescent="0.35">
      <c r="B2" s="151"/>
      <c r="C2" s="151"/>
      <c r="D2" s="15" t="s">
        <v>41</v>
      </c>
      <c r="E2" s="15" t="s">
        <v>4682</v>
      </c>
      <c r="G2" s="13" t="s">
        <v>342</v>
      </c>
    </row>
    <row r="3" spans="2:8" s="58" customFormat="1" ht="14.5" customHeight="1" x14ac:dyDescent="0.35">
      <c r="B3" s="151"/>
      <c r="C3" s="151"/>
      <c r="D3" s="11" t="s">
        <v>226</v>
      </c>
      <c r="E3" s="11">
        <f>COUNTIF(E8:E301,"*")</f>
        <v>275</v>
      </c>
      <c r="G3" s="185">
        <f>COUNTIF(G8:G301,"Yes")</f>
        <v>275</v>
      </c>
    </row>
    <row r="4" spans="2:8" s="58" customFormat="1" ht="14.5" customHeight="1" x14ac:dyDescent="0.35">
      <c r="B4" s="151"/>
      <c r="C4" s="151"/>
      <c r="D4" s="15" t="s">
        <v>79</v>
      </c>
      <c r="E4" s="15" t="str">
        <f>'(6) Online Channels'!E4</f>
        <v>R25 Model Bank</v>
      </c>
      <c r="G4" s="186"/>
    </row>
    <row r="5" spans="2:8" ht="18.5" customHeight="1" x14ac:dyDescent="0.35">
      <c r="E5" s="15"/>
      <c r="G5" s="9"/>
    </row>
    <row r="6" spans="2:8" x14ac:dyDescent="0.35">
      <c r="B6" s="197"/>
      <c r="C6" s="198"/>
      <c r="D6" s="198"/>
      <c r="E6" s="117"/>
      <c r="G6" s="18" t="s">
        <v>340</v>
      </c>
      <c r="H6" s="74"/>
    </row>
    <row r="7" spans="2:8" x14ac:dyDescent="0.35">
      <c r="B7" s="75" t="s">
        <v>83</v>
      </c>
      <c r="C7" s="75" t="s">
        <v>86</v>
      </c>
      <c r="D7" s="75" t="s">
        <v>87</v>
      </c>
      <c r="E7" s="75" t="s">
        <v>54</v>
      </c>
      <c r="G7" s="76" t="s">
        <v>342</v>
      </c>
    </row>
    <row r="8" spans="2:8" ht="29" x14ac:dyDescent="0.35">
      <c r="B8" s="77" t="s">
        <v>4681</v>
      </c>
      <c r="C8" s="77"/>
      <c r="D8" s="2"/>
      <c r="E8" s="2"/>
      <c r="G8" s="29"/>
    </row>
    <row r="9" spans="2:8" x14ac:dyDescent="0.35">
      <c r="B9" s="77"/>
      <c r="C9" s="77" t="s">
        <v>4683</v>
      </c>
      <c r="D9" s="2"/>
      <c r="E9" s="2"/>
      <c r="G9" s="23">
        <f>COUNTIF(G11:G217,"Yes")</f>
        <v>196</v>
      </c>
      <c r="H9" s="74"/>
    </row>
    <row r="10" spans="2:8" x14ac:dyDescent="0.35">
      <c r="B10" s="77"/>
      <c r="C10" s="77"/>
      <c r="D10" s="81" t="s">
        <v>4684</v>
      </c>
      <c r="E10" s="2"/>
      <c r="F10" s="62"/>
      <c r="G10" s="78"/>
    </row>
    <row r="11" spans="2:8" ht="29" outlineLevel="1" x14ac:dyDescent="0.35">
      <c r="B11" s="77"/>
      <c r="C11" s="77"/>
      <c r="D11" s="2" t="s">
        <v>4661</v>
      </c>
      <c r="E11" s="2" t="s">
        <v>4672</v>
      </c>
      <c r="F11" s="62"/>
      <c r="G11" s="26" t="s">
        <v>341</v>
      </c>
    </row>
    <row r="12" spans="2:8" outlineLevel="1" x14ac:dyDescent="0.35">
      <c r="B12" s="77"/>
      <c r="C12" s="77"/>
      <c r="D12" s="2" t="s">
        <v>4662</v>
      </c>
      <c r="E12" s="2" t="s">
        <v>516</v>
      </c>
      <c r="F12" s="62"/>
      <c r="G12" s="26" t="s">
        <v>341</v>
      </c>
    </row>
    <row r="13" spans="2:8" ht="58" outlineLevel="1" x14ac:dyDescent="0.35">
      <c r="B13" s="77"/>
      <c r="C13" s="77"/>
      <c r="D13" s="2" t="s">
        <v>4663</v>
      </c>
      <c r="E13" s="2" t="s">
        <v>4673</v>
      </c>
      <c r="F13" s="62"/>
      <c r="G13" s="26" t="s">
        <v>341</v>
      </c>
    </row>
    <row r="14" spans="2:8" ht="43.5" outlineLevel="1" x14ac:dyDescent="0.35">
      <c r="B14" s="77"/>
      <c r="C14" s="77"/>
      <c r="D14" s="2" t="s">
        <v>4664</v>
      </c>
      <c r="E14" s="2" t="s">
        <v>1434</v>
      </c>
      <c r="F14" s="62"/>
      <c r="G14" s="26" t="s">
        <v>341</v>
      </c>
    </row>
    <row r="15" spans="2:8" ht="58" outlineLevel="1" x14ac:dyDescent="0.35">
      <c r="B15" s="77"/>
      <c r="C15" s="77"/>
      <c r="D15" s="2" t="s">
        <v>4665</v>
      </c>
      <c r="E15" s="2" t="s">
        <v>4674</v>
      </c>
      <c r="F15" s="62"/>
      <c r="G15" s="26" t="s">
        <v>341</v>
      </c>
    </row>
    <row r="16" spans="2:8" ht="72.5" outlineLevel="1" x14ac:dyDescent="0.35">
      <c r="B16" s="77"/>
      <c r="C16" s="77"/>
      <c r="D16" s="2" t="s">
        <v>4666</v>
      </c>
      <c r="E16" s="2" t="s">
        <v>4675</v>
      </c>
      <c r="F16" s="62"/>
      <c r="G16" s="26" t="s">
        <v>341</v>
      </c>
    </row>
    <row r="17" spans="2:7" ht="29" outlineLevel="1" x14ac:dyDescent="0.35">
      <c r="B17" s="77"/>
      <c r="C17" s="77"/>
      <c r="D17" s="2" t="s">
        <v>4667</v>
      </c>
      <c r="E17" s="2" t="s">
        <v>4676</v>
      </c>
      <c r="F17" s="62"/>
      <c r="G17" s="26" t="s">
        <v>341</v>
      </c>
    </row>
    <row r="18" spans="2:7" ht="29" outlineLevel="1" x14ac:dyDescent="0.35">
      <c r="B18" s="77"/>
      <c r="C18" s="77"/>
      <c r="D18" s="2" t="s">
        <v>4668</v>
      </c>
      <c r="E18" s="2" t="s">
        <v>4677</v>
      </c>
      <c r="F18" s="62"/>
      <c r="G18" s="26" t="s">
        <v>341</v>
      </c>
    </row>
    <row r="19" spans="2:7" ht="43.5" outlineLevel="1" x14ac:dyDescent="0.35">
      <c r="B19" s="77"/>
      <c r="C19" s="77"/>
      <c r="D19" s="2" t="s">
        <v>4669</v>
      </c>
      <c r="E19" s="2" t="s">
        <v>4678</v>
      </c>
      <c r="F19" s="62"/>
      <c r="G19" s="26" t="s">
        <v>341</v>
      </c>
    </row>
    <row r="20" spans="2:7" ht="43.5" outlineLevel="1" x14ac:dyDescent="0.35">
      <c r="B20" s="77"/>
      <c r="C20" s="77"/>
      <c r="D20" s="2" t="s">
        <v>4670</v>
      </c>
      <c r="E20" s="2" t="s">
        <v>4679</v>
      </c>
      <c r="F20" s="62"/>
      <c r="G20" s="26" t="s">
        <v>341</v>
      </c>
    </row>
    <row r="21" spans="2:7" ht="72.5" outlineLevel="1" x14ac:dyDescent="0.35">
      <c r="B21" s="77"/>
      <c r="C21" s="77"/>
      <c r="D21" s="2" t="s">
        <v>4671</v>
      </c>
      <c r="E21" s="2" t="s">
        <v>4680</v>
      </c>
      <c r="F21" s="62"/>
      <c r="G21" s="26" t="s">
        <v>341</v>
      </c>
    </row>
    <row r="22" spans="2:7" x14ac:dyDescent="0.35">
      <c r="B22" s="77"/>
      <c r="C22" s="77"/>
      <c r="D22" s="81" t="s">
        <v>4685</v>
      </c>
      <c r="E22" s="2"/>
      <c r="F22" s="62"/>
      <c r="G22" s="78"/>
    </row>
    <row r="23" spans="2:7" outlineLevel="1" x14ac:dyDescent="0.35">
      <c r="B23" s="77"/>
      <c r="C23" s="77"/>
      <c r="D23" s="2" t="s">
        <v>5339</v>
      </c>
      <c r="E23" s="2" t="s">
        <v>1429</v>
      </c>
      <c r="F23" s="62"/>
      <c r="G23" s="26" t="s">
        <v>341</v>
      </c>
    </row>
    <row r="24" spans="2:7" ht="29" outlineLevel="1" x14ac:dyDescent="0.35">
      <c r="B24" s="77"/>
      <c r="C24" s="77"/>
      <c r="D24" s="2" t="s">
        <v>5340</v>
      </c>
      <c r="E24" s="2" t="s">
        <v>760</v>
      </c>
      <c r="F24" s="62"/>
      <c r="G24" s="26" t="s">
        <v>341</v>
      </c>
    </row>
    <row r="25" spans="2:7" ht="29" outlineLevel="1" x14ac:dyDescent="0.35">
      <c r="B25" s="77"/>
      <c r="C25" s="77"/>
      <c r="D25" s="2" t="s">
        <v>5108</v>
      </c>
      <c r="E25" s="2" t="s">
        <v>225</v>
      </c>
      <c r="F25" s="62"/>
      <c r="G25" s="26" t="s">
        <v>341</v>
      </c>
    </row>
    <row r="26" spans="2:7" ht="72.5" outlineLevel="1" x14ac:dyDescent="0.35">
      <c r="B26" s="77"/>
      <c r="C26" s="77"/>
      <c r="D26" s="2" t="s">
        <v>5341</v>
      </c>
      <c r="E26" s="2" t="s">
        <v>5357</v>
      </c>
      <c r="F26" s="62"/>
      <c r="G26" s="26" t="s">
        <v>341</v>
      </c>
    </row>
    <row r="27" spans="2:7" ht="29" outlineLevel="1" x14ac:dyDescent="0.35">
      <c r="B27" s="77"/>
      <c r="C27" s="77"/>
      <c r="D27" s="2" t="s">
        <v>5109</v>
      </c>
      <c r="E27" s="2" t="s">
        <v>5125</v>
      </c>
      <c r="F27" s="62"/>
      <c r="G27" s="26" t="s">
        <v>341</v>
      </c>
    </row>
    <row r="28" spans="2:7" ht="29" outlineLevel="1" x14ac:dyDescent="0.35">
      <c r="B28" s="77"/>
      <c r="C28" s="77"/>
      <c r="D28" s="2" t="s">
        <v>5342</v>
      </c>
      <c r="E28" s="2" t="s">
        <v>784</v>
      </c>
      <c r="F28" s="62"/>
      <c r="G28" s="26" t="s">
        <v>341</v>
      </c>
    </row>
    <row r="29" spans="2:7" ht="43.5" outlineLevel="1" x14ac:dyDescent="0.35">
      <c r="B29" s="77"/>
      <c r="C29" s="77"/>
      <c r="D29" s="2" t="s">
        <v>5110</v>
      </c>
      <c r="E29" s="2" t="s">
        <v>2769</v>
      </c>
      <c r="F29" s="62"/>
      <c r="G29" s="26" t="s">
        <v>341</v>
      </c>
    </row>
    <row r="30" spans="2:7" ht="29" outlineLevel="1" x14ac:dyDescent="0.35">
      <c r="B30" s="77"/>
      <c r="C30" s="77"/>
      <c r="D30" s="2" t="s">
        <v>5343</v>
      </c>
      <c r="E30" s="2" t="s">
        <v>594</v>
      </c>
      <c r="F30" s="62"/>
      <c r="G30" s="26" t="s">
        <v>341</v>
      </c>
    </row>
    <row r="31" spans="2:7" ht="58" outlineLevel="1" x14ac:dyDescent="0.35">
      <c r="B31" s="77"/>
      <c r="C31" s="77"/>
      <c r="D31" s="2" t="s">
        <v>5111</v>
      </c>
      <c r="E31" s="2" t="s">
        <v>5126</v>
      </c>
      <c r="F31" s="62"/>
      <c r="G31" s="26" t="s">
        <v>341</v>
      </c>
    </row>
    <row r="32" spans="2:7" ht="29" outlineLevel="1" x14ac:dyDescent="0.35">
      <c r="B32" s="77"/>
      <c r="C32" s="77"/>
      <c r="D32" s="2" t="s">
        <v>5344</v>
      </c>
      <c r="E32" s="2" t="s">
        <v>5358</v>
      </c>
      <c r="F32" s="62"/>
      <c r="G32" s="26" t="s">
        <v>341</v>
      </c>
    </row>
    <row r="33" spans="2:7" ht="29" outlineLevel="1" x14ac:dyDescent="0.35">
      <c r="B33" s="77"/>
      <c r="C33" s="77"/>
      <c r="D33" s="2" t="s">
        <v>5345</v>
      </c>
      <c r="E33" s="2" t="s">
        <v>1824</v>
      </c>
      <c r="F33" s="62"/>
      <c r="G33" s="26" t="s">
        <v>341</v>
      </c>
    </row>
    <row r="34" spans="2:7" ht="58" outlineLevel="1" x14ac:dyDescent="0.35">
      <c r="B34" s="77"/>
      <c r="C34" s="77"/>
      <c r="D34" s="2" t="s">
        <v>5346</v>
      </c>
      <c r="E34" s="2" t="s">
        <v>5359</v>
      </c>
      <c r="F34" s="62"/>
      <c r="G34" s="26" t="s">
        <v>341</v>
      </c>
    </row>
    <row r="35" spans="2:7" ht="29" outlineLevel="1" x14ac:dyDescent="0.35">
      <c r="B35" s="77"/>
      <c r="C35" s="77"/>
      <c r="D35" s="2" t="s">
        <v>5112</v>
      </c>
      <c r="E35" s="2" t="s">
        <v>256</v>
      </c>
      <c r="F35" s="62"/>
      <c r="G35" s="26" t="s">
        <v>341</v>
      </c>
    </row>
    <row r="36" spans="2:7" ht="29" outlineLevel="1" x14ac:dyDescent="0.35">
      <c r="B36" s="77"/>
      <c r="C36" s="77"/>
      <c r="D36" s="2" t="s">
        <v>5347</v>
      </c>
      <c r="E36" s="2" t="s">
        <v>5360</v>
      </c>
      <c r="F36" s="62"/>
      <c r="G36" s="26" t="s">
        <v>341</v>
      </c>
    </row>
    <row r="37" spans="2:7" ht="43.5" outlineLevel="1" x14ac:dyDescent="0.35">
      <c r="B37" s="77"/>
      <c r="C37" s="77"/>
      <c r="D37" s="2" t="s">
        <v>5113</v>
      </c>
      <c r="E37" s="2" t="s">
        <v>284</v>
      </c>
      <c r="F37" s="62"/>
      <c r="G37" s="26" t="s">
        <v>341</v>
      </c>
    </row>
    <row r="38" spans="2:7" ht="43.5" outlineLevel="1" x14ac:dyDescent="0.35">
      <c r="B38" s="77"/>
      <c r="C38" s="77"/>
      <c r="D38" s="2" t="s">
        <v>5348</v>
      </c>
      <c r="E38" s="2" t="s">
        <v>1828</v>
      </c>
      <c r="F38" s="62"/>
      <c r="G38" s="26" t="s">
        <v>341</v>
      </c>
    </row>
    <row r="39" spans="2:7" ht="58" outlineLevel="1" x14ac:dyDescent="0.35">
      <c r="B39" s="77"/>
      <c r="C39" s="77"/>
      <c r="D39" s="2" t="s">
        <v>5349</v>
      </c>
      <c r="E39" s="2" t="s">
        <v>5361</v>
      </c>
      <c r="F39" s="62"/>
      <c r="G39" s="26" t="s">
        <v>341</v>
      </c>
    </row>
    <row r="40" spans="2:7" ht="72.5" outlineLevel="1" x14ac:dyDescent="0.35">
      <c r="B40" s="77"/>
      <c r="C40" s="77"/>
      <c r="D40" s="2" t="s">
        <v>5563</v>
      </c>
      <c r="E40" s="2" t="s">
        <v>5570</v>
      </c>
      <c r="F40" s="62"/>
      <c r="G40" s="26" t="s">
        <v>341</v>
      </c>
    </row>
    <row r="41" spans="2:7" ht="29" outlineLevel="1" x14ac:dyDescent="0.35">
      <c r="B41" s="77"/>
      <c r="C41" s="77"/>
      <c r="D41" s="2" t="s">
        <v>5114</v>
      </c>
      <c r="E41" s="2" t="s">
        <v>5127</v>
      </c>
      <c r="F41" s="62"/>
      <c r="G41" s="26" t="s">
        <v>341</v>
      </c>
    </row>
    <row r="42" spans="2:7" ht="116" outlineLevel="1" x14ac:dyDescent="0.35">
      <c r="B42" s="77"/>
      <c r="C42" s="77"/>
      <c r="D42" s="2" t="s">
        <v>5115</v>
      </c>
      <c r="E42" s="2" t="s">
        <v>5128</v>
      </c>
      <c r="F42" s="62"/>
      <c r="G42" s="26" t="s">
        <v>341</v>
      </c>
    </row>
    <row r="43" spans="2:7" ht="116" outlineLevel="1" x14ac:dyDescent="0.35">
      <c r="B43" s="77"/>
      <c r="C43" s="77"/>
      <c r="D43" s="2" t="s">
        <v>5350</v>
      </c>
      <c r="E43" s="2" t="s">
        <v>3048</v>
      </c>
      <c r="F43" s="62"/>
      <c r="G43" s="26" t="s">
        <v>341</v>
      </c>
    </row>
    <row r="44" spans="2:7" ht="29" outlineLevel="1" x14ac:dyDescent="0.35">
      <c r="B44" s="77"/>
      <c r="C44" s="77"/>
      <c r="D44" s="2" t="s">
        <v>5116</v>
      </c>
      <c r="E44" s="2" t="s">
        <v>5154</v>
      </c>
      <c r="F44" s="62"/>
      <c r="G44" s="26" t="s">
        <v>341</v>
      </c>
    </row>
    <row r="45" spans="2:7" ht="87" outlineLevel="1" x14ac:dyDescent="0.35">
      <c r="B45" s="77"/>
      <c r="C45" s="77"/>
      <c r="D45" s="2" t="s">
        <v>5351</v>
      </c>
      <c r="E45" s="2" t="s">
        <v>5362</v>
      </c>
      <c r="F45" s="62"/>
      <c r="G45" s="26" t="s">
        <v>341</v>
      </c>
    </row>
    <row r="46" spans="2:7" ht="43.5" outlineLevel="1" x14ac:dyDescent="0.35">
      <c r="B46" s="77"/>
      <c r="C46" s="77"/>
      <c r="D46" s="2" t="s">
        <v>5564</v>
      </c>
      <c r="E46" s="2" t="s">
        <v>5571</v>
      </c>
      <c r="F46" s="62"/>
      <c r="G46" s="26" t="s">
        <v>341</v>
      </c>
    </row>
    <row r="47" spans="2:7" ht="116" outlineLevel="1" x14ac:dyDescent="0.35">
      <c r="B47" s="77"/>
      <c r="C47" s="77"/>
      <c r="D47" s="2" t="s">
        <v>5117</v>
      </c>
      <c r="E47" s="2" t="s">
        <v>3945</v>
      </c>
      <c r="F47" s="62"/>
      <c r="G47" s="26" t="s">
        <v>341</v>
      </c>
    </row>
    <row r="48" spans="2:7" ht="130.5" outlineLevel="1" x14ac:dyDescent="0.35">
      <c r="B48" s="77"/>
      <c r="C48" s="77"/>
      <c r="D48" s="2" t="s">
        <v>5565</v>
      </c>
      <c r="E48" s="2" t="s">
        <v>5682</v>
      </c>
      <c r="F48" s="62"/>
      <c r="G48" s="26" t="s">
        <v>341</v>
      </c>
    </row>
    <row r="49" spans="2:7" ht="29" outlineLevel="1" x14ac:dyDescent="0.35">
      <c r="B49" s="77"/>
      <c r="C49" s="77"/>
      <c r="D49" s="2" t="s">
        <v>5352</v>
      </c>
      <c r="E49" s="2" t="s">
        <v>761</v>
      </c>
      <c r="F49" s="62"/>
      <c r="G49" s="26" t="s">
        <v>341</v>
      </c>
    </row>
    <row r="50" spans="2:7" ht="43.5" outlineLevel="1" x14ac:dyDescent="0.35">
      <c r="B50" s="77"/>
      <c r="C50" s="77"/>
      <c r="D50" s="2" t="s">
        <v>5566</v>
      </c>
      <c r="E50" s="2" t="s">
        <v>5572</v>
      </c>
      <c r="F50" s="62"/>
      <c r="G50" s="26" t="s">
        <v>341</v>
      </c>
    </row>
    <row r="51" spans="2:7" ht="29" outlineLevel="1" x14ac:dyDescent="0.35">
      <c r="B51" s="77"/>
      <c r="C51" s="77"/>
      <c r="D51" s="2" t="s">
        <v>5567</v>
      </c>
      <c r="E51" s="2" t="s">
        <v>5573</v>
      </c>
      <c r="F51" s="62"/>
      <c r="G51" s="26" t="s">
        <v>341</v>
      </c>
    </row>
    <row r="52" spans="2:7" ht="29" outlineLevel="1" x14ac:dyDescent="0.35">
      <c r="B52" s="77"/>
      <c r="C52" s="77"/>
      <c r="D52" s="2" t="s">
        <v>5568</v>
      </c>
      <c r="E52" s="2" t="s">
        <v>5574</v>
      </c>
      <c r="F52" s="62"/>
      <c r="G52" s="26" t="s">
        <v>341</v>
      </c>
    </row>
    <row r="53" spans="2:7" ht="29" outlineLevel="1" x14ac:dyDescent="0.35">
      <c r="B53" s="77"/>
      <c r="C53" s="77"/>
      <c r="D53" s="2" t="s">
        <v>5118</v>
      </c>
      <c r="E53" s="2" t="s">
        <v>223</v>
      </c>
      <c r="F53" s="62"/>
      <c r="G53" s="26" t="s">
        <v>341</v>
      </c>
    </row>
    <row r="54" spans="2:7" ht="29" outlineLevel="1" x14ac:dyDescent="0.35">
      <c r="B54" s="77"/>
      <c r="C54" s="77"/>
      <c r="D54" s="2" t="s">
        <v>5119</v>
      </c>
      <c r="E54" s="2" t="s">
        <v>170</v>
      </c>
      <c r="F54" s="62"/>
      <c r="G54" s="26" t="s">
        <v>341</v>
      </c>
    </row>
    <row r="55" spans="2:7" ht="29" outlineLevel="1" x14ac:dyDescent="0.35">
      <c r="B55" s="77"/>
      <c r="C55" s="77"/>
      <c r="D55" s="2" t="s">
        <v>5353</v>
      </c>
      <c r="E55" s="2" t="s">
        <v>5363</v>
      </c>
      <c r="F55" s="62"/>
      <c r="G55" s="26" t="s">
        <v>341</v>
      </c>
    </row>
    <row r="56" spans="2:7" ht="29" outlineLevel="1" x14ac:dyDescent="0.35">
      <c r="B56" s="77"/>
      <c r="C56" s="77"/>
      <c r="D56" s="2" t="s">
        <v>5569</v>
      </c>
      <c r="E56" s="2" t="s">
        <v>613</v>
      </c>
      <c r="F56" s="62"/>
      <c r="G56" s="26" t="s">
        <v>341</v>
      </c>
    </row>
    <row r="57" spans="2:7" ht="29" outlineLevel="1" x14ac:dyDescent="0.35">
      <c r="B57" s="77"/>
      <c r="C57" s="77"/>
      <c r="D57" s="2" t="s">
        <v>5120</v>
      </c>
      <c r="E57" s="2" t="s">
        <v>222</v>
      </c>
      <c r="F57" s="62"/>
      <c r="G57" s="26" t="s">
        <v>341</v>
      </c>
    </row>
    <row r="58" spans="2:7" ht="43.5" outlineLevel="1" x14ac:dyDescent="0.35">
      <c r="B58" s="77"/>
      <c r="C58" s="77"/>
      <c r="D58" s="2" t="s">
        <v>5354</v>
      </c>
      <c r="E58" s="2" t="s">
        <v>672</v>
      </c>
      <c r="F58" s="62"/>
      <c r="G58" s="26" t="s">
        <v>341</v>
      </c>
    </row>
    <row r="59" spans="2:7" ht="29" outlineLevel="1" x14ac:dyDescent="0.35">
      <c r="B59" s="77"/>
      <c r="C59" s="77"/>
      <c r="D59" s="2" t="s">
        <v>4688</v>
      </c>
      <c r="E59" s="2" t="s">
        <v>1830</v>
      </c>
      <c r="F59" s="62"/>
      <c r="G59" s="26" t="s">
        <v>341</v>
      </c>
    </row>
    <row r="60" spans="2:7" ht="29" outlineLevel="1" x14ac:dyDescent="0.35">
      <c r="B60" s="77"/>
      <c r="C60" s="77"/>
      <c r="D60" s="2" t="s">
        <v>5121</v>
      </c>
      <c r="E60" s="2" t="s">
        <v>174</v>
      </c>
      <c r="F60" s="62"/>
      <c r="G60" s="26" t="s">
        <v>341</v>
      </c>
    </row>
    <row r="61" spans="2:7" ht="87" outlineLevel="1" x14ac:dyDescent="0.35">
      <c r="B61" s="77"/>
      <c r="C61" s="77"/>
      <c r="D61" s="2" t="s">
        <v>5122</v>
      </c>
      <c r="E61" s="2" t="s">
        <v>288</v>
      </c>
      <c r="F61" s="62"/>
      <c r="G61" s="26" t="s">
        <v>341</v>
      </c>
    </row>
    <row r="62" spans="2:7" ht="43.5" outlineLevel="1" x14ac:dyDescent="0.35">
      <c r="B62" s="77"/>
      <c r="C62" s="77"/>
      <c r="D62" s="2" t="s">
        <v>5355</v>
      </c>
      <c r="E62" s="2" t="s">
        <v>5364</v>
      </c>
      <c r="F62" s="62"/>
      <c r="G62" s="26" t="s">
        <v>341</v>
      </c>
    </row>
    <row r="63" spans="2:7" ht="29" outlineLevel="1" x14ac:dyDescent="0.35">
      <c r="B63" s="77"/>
      <c r="C63" s="77"/>
      <c r="D63" s="2" t="s">
        <v>5123</v>
      </c>
      <c r="E63" s="2" t="s">
        <v>5129</v>
      </c>
      <c r="F63" s="62"/>
      <c r="G63" s="26" t="s">
        <v>341</v>
      </c>
    </row>
    <row r="64" spans="2:7" ht="58" outlineLevel="1" x14ac:dyDescent="0.35">
      <c r="B64" s="77"/>
      <c r="C64" s="77"/>
      <c r="D64" s="2" t="s">
        <v>5032</v>
      </c>
      <c r="E64" s="2" t="s">
        <v>4689</v>
      </c>
      <c r="F64" s="62"/>
      <c r="G64" s="26" t="s">
        <v>341</v>
      </c>
    </row>
    <row r="65" spans="2:7" ht="29" outlineLevel="1" x14ac:dyDescent="0.35">
      <c r="B65" s="77"/>
      <c r="C65" s="77"/>
      <c r="D65" s="2" t="s">
        <v>5356</v>
      </c>
      <c r="E65" s="2" t="s">
        <v>180</v>
      </c>
      <c r="F65" s="62"/>
      <c r="G65" s="26" t="s">
        <v>341</v>
      </c>
    </row>
    <row r="66" spans="2:7" ht="29" outlineLevel="1" x14ac:dyDescent="0.35">
      <c r="B66" s="77"/>
      <c r="C66" s="77"/>
      <c r="D66" s="2" t="s">
        <v>5124</v>
      </c>
      <c r="E66" s="2" t="s">
        <v>257</v>
      </c>
      <c r="F66" s="62"/>
      <c r="G66" s="26" t="s">
        <v>341</v>
      </c>
    </row>
    <row r="67" spans="2:7" x14ac:dyDescent="0.35">
      <c r="B67" s="77"/>
      <c r="C67" s="77"/>
      <c r="D67" s="81" t="s">
        <v>4686</v>
      </c>
      <c r="E67" s="2"/>
      <c r="F67" s="62"/>
      <c r="G67" s="78"/>
    </row>
    <row r="68" spans="2:7" outlineLevel="1" x14ac:dyDescent="0.35">
      <c r="B68" s="77"/>
      <c r="C68" s="77"/>
      <c r="D68" s="2" t="s">
        <v>5575</v>
      </c>
      <c r="E68" s="2" t="s">
        <v>5584</v>
      </c>
      <c r="F68" s="62"/>
      <c r="G68" s="26" t="s">
        <v>341</v>
      </c>
    </row>
    <row r="69" spans="2:7" ht="43.5" outlineLevel="1" x14ac:dyDescent="0.35">
      <c r="B69" s="77"/>
      <c r="C69" s="77"/>
      <c r="D69" s="2" t="s">
        <v>5576</v>
      </c>
      <c r="E69" s="2" t="s">
        <v>5585</v>
      </c>
      <c r="F69" s="62"/>
      <c r="G69" s="26" t="s">
        <v>341</v>
      </c>
    </row>
    <row r="70" spans="2:7" ht="29" outlineLevel="1" x14ac:dyDescent="0.35">
      <c r="B70" s="77"/>
      <c r="C70" s="77"/>
      <c r="D70" s="2" t="s">
        <v>5577</v>
      </c>
      <c r="E70" s="2" t="s">
        <v>5586</v>
      </c>
      <c r="F70" s="62"/>
      <c r="G70" s="26" t="s">
        <v>341</v>
      </c>
    </row>
    <row r="71" spans="2:7" ht="43.5" outlineLevel="1" x14ac:dyDescent="0.35">
      <c r="B71" s="77"/>
      <c r="C71" s="77"/>
      <c r="D71" s="2" t="s">
        <v>5578</v>
      </c>
      <c r="E71" s="2" t="s">
        <v>5587</v>
      </c>
      <c r="F71" s="62"/>
      <c r="G71" s="26" t="s">
        <v>341</v>
      </c>
    </row>
    <row r="72" spans="2:7" outlineLevel="1" x14ac:dyDescent="0.35">
      <c r="B72" s="77"/>
      <c r="C72" s="77"/>
      <c r="D72" s="2" t="s">
        <v>5579</v>
      </c>
      <c r="E72" s="2" t="s">
        <v>5588</v>
      </c>
      <c r="F72" s="62"/>
      <c r="G72" s="26" t="s">
        <v>341</v>
      </c>
    </row>
    <row r="73" spans="2:7" ht="43.5" outlineLevel="1" x14ac:dyDescent="0.35">
      <c r="B73" s="77"/>
      <c r="C73" s="77"/>
      <c r="D73" s="2" t="s">
        <v>5580</v>
      </c>
      <c r="E73" s="2" t="s">
        <v>593</v>
      </c>
      <c r="F73" s="62"/>
      <c r="G73" s="26" t="s">
        <v>341</v>
      </c>
    </row>
    <row r="74" spans="2:7" ht="58" outlineLevel="1" x14ac:dyDescent="0.35">
      <c r="B74" s="77"/>
      <c r="C74" s="77"/>
      <c r="D74" s="2" t="s">
        <v>4687</v>
      </c>
      <c r="E74" s="2" t="s">
        <v>4689</v>
      </c>
      <c r="F74" s="62"/>
      <c r="G74" s="26" t="s">
        <v>341</v>
      </c>
    </row>
    <row r="75" spans="2:7" ht="29" outlineLevel="1" x14ac:dyDescent="0.35">
      <c r="B75" s="77"/>
      <c r="C75" s="77"/>
      <c r="D75" s="2" t="s">
        <v>5581</v>
      </c>
      <c r="E75" s="2" t="s">
        <v>5589</v>
      </c>
      <c r="F75" s="62"/>
      <c r="G75" s="26" t="s">
        <v>341</v>
      </c>
    </row>
    <row r="76" spans="2:7" ht="43.5" outlineLevel="1" x14ac:dyDescent="0.35">
      <c r="B76" s="77"/>
      <c r="C76" s="77"/>
      <c r="D76" s="2" t="s">
        <v>5582</v>
      </c>
      <c r="E76" s="2" t="s">
        <v>5590</v>
      </c>
      <c r="F76" s="62"/>
      <c r="G76" s="26" t="s">
        <v>341</v>
      </c>
    </row>
    <row r="77" spans="2:7" ht="29" outlineLevel="1" x14ac:dyDescent="0.35">
      <c r="B77" s="77"/>
      <c r="C77" s="77"/>
      <c r="D77" s="2" t="s">
        <v>5583</v>
      </c>
      <c r="E77" s="2" t="s">
        <v>5591</v>
      </c>
      <c r="F77" s="62"/>
      <c r="G77" s="26" t="s">
        <v>341</v>
      </c>
    </row>
    <row r="78" spans="2:7" x14ac:dyDescent="0.35">
      <c r="B78" s="77"/>
      <c r="C78" s="77"/>
      <c r="D78" s="81" t="s">
        <v>4892</v>
      </c>
      <c r="E78" s="2"/>
      <c r="F78" s="62"/>
      <c r="G78" s="78"/>
    </row>
    <row r="79" spans="2:7" outlineLevel="1" x14ac:dyDescent="0.35">
      <c r="B79" s="77"/>
      <c r="C79" s="77"/>
      <c r="D79" s="2" t="s">
        <v>4893</v>
      </c>
      <c r="E79" s="2" t="s">
        <v>4235</v>
      </c>
      <c r="F79" s="62"/>
      <c r="G79" s="26" t="s">
        <v>341</v>
      </c>
    </row>
    <row r="80" spans="2:7" ht="29" outlineLevel="1" x14ac:dyDescent="0.35">
      <c r="B80" s="77"/>
      <c r="C80" s="77"/>
      <c r="D80" s="2" t="s">
        <v>4894</v>
      </c>
      <c r="E80" s="2" t="s">
        <v>728</v>
      </c>
      <c r="F80" s="62"/>
      <c r="G80" s="26" t="s">
        <v>341</v>
      </c>
    </row>
    <row r="81" spans="2:7" ht="43.5" outlineLevel="1" x14ac:dyDescent="0.35">
      <c r="B81" s="77"/>
      <c r="C81" s="77"/>
      <c r="D81" s="2" t="s">
        <v>4895</v>
      </c>
      <c r="E81" s="2" t="s">
        <v>4900</v>
      </c>
      <c r="F81" s="62"/>
      <c r="G81" s="26" t="s">
        <v>341</v>
      </c>
    </row>
    <row r="82" spans="2:7" ht="29" outlineLevel="1" x14ac:dyDescent="0.35">
      <c r="B82" s="77"/>
      <c r="C82" s="77"/>
      <c r="D82" s="2" t="s">
        <v>4896</v>
      </c>
      <c r="E82" s="2" t="s">
        <v>4901</v>
      </c>
      <c r="F82" s="62"/>
      <c r="G82" s="26" t="s">
        <v>341</v>
      </c>
    </row>
    <row r="83" spans="2:7" ht="58" outlineLevel="1" x14ac:dyDescent="0.35">
      <c r="B83" s="77"/>
      <c r="C83" s="77"/>
      <c r="D83" s="2" t="s">
        <v>5186</v>
      </c>
      <c r="E83" s="2" t="s">
        <v>4902</v>
      </c>
      <c r="F83" s="62"/>
      <c r="G83" s="26" t="s">
        <v>341</v>
      </c>
    </row>
    <row r="84" spans="2:7" ht="43.5" outlineLevel="1" x14ac:dyDescent="0.35">
      <c r="B84" s="77"/>
      <c r="C84" s="77"/>
      <c r="D84" s="2" t="s">
        <v>5187</v>
      </c>
      <c r="E84" s="2" t="s">
        <v>896</v>
      </c>
      <c r="F84" s="62"/>
      <c r="G84" s="26" t="s">
        <v>341</v>
      </c>
    </row>
    <row r="85" spans="2:7" ht="29" outlineLevel="1" x14ac:dyDescent="0.35">
      <c r="B85" s="77"/>
      <c r="C85" s="77"/>
      <c r="D85" s="2" t="s">
        <v>5188</v>
      </c>
      <c r="E85" s="2" t="s">
        <v>525</v>
      </c>
      <c r="F85" s="62"/>
      <c r="G85" s="26" t="s">
        <v>341</v>
      </c>
    </row>
    <row r="86" spans="2:7" ht="43.5" outlineLevel="1" x14ac:dyDescent="0.35">
      <c r="B86" s="77"/>
      <c r="C86" s="77"/>
      <c r="D86" s="2" t="s">
        <v>4897</v>
      </c>
      <c r="E86" s="2" t="s">
        <v>4903</v>
      </c>
      <c r="F86" s="62"/>
      <c r="G86" s="26" t="s">
        <v>341</v>
      </c>
    </row>
    <row r="87" spans="2:7" ht="29" outlineLevel="1" x14ac:dyDescent="0.35">
      <c r="B87" s="77"/>
      <c r="C87" s="77"/>
      <c r="D87" s="2" t="s">
        <v>5189</v>
      </c>
      <c r="E87" s="2" t="s">
        <v>4904</v>
      </c>
      <c r="F87" s="62"/>
      <c r="G87" s="26" t="s">
        <v>341</v>
      </c>
    </row>
    <row r="88" spans="2:7" ht="87" outlineLevel="1" x14ac:dyDescent="0.35">
      <c r="B88" s="77"/>
      <c r="C88" s="77"/>
      <c r="D88" s="2" t="s">
        <v>5197</v>
      </c>
      <c r="E88" s="2" t="s">
        <v>1953</v>
      </c>
      <c r="F88" s="62"/>
      <c r="G88" s="26" t="s">
        <v>341</v>
      </c>
    </row>
    <row r="89" spans="2:7" ht="58" outlineLevel="1" x14ac:dyDescent="0.35">
      <c r="B89" s="77"/>
      <c r="C89" s="77"/>
      <c r="D89" s="2" t="s">
        <v>4898</v>
      </c>
      <c r="E89" s="2" t="s">
        <v>730</v>
      </c>
      <c r="F89" s="62"/>
      <c r="G89" s="26" t="s">
        <v>341</v>
      </c>
    </row>
    <row r="90" spans="2:7" outlineLevel="1" x14ac:dyDescent="0.35">
      <c r="B90" s="77"/>
      <c r="C90" s="77"/>
      <c r="D90" s="2" t="s">
        <v>4899</v>
      </c>
      <c r="E90" s="2" t="s">
        <v>950</v>
      </c>
      <c r="F90" s="62"/>
      <c r="G90" s="26" t="s">
        <v>341</v>
      </c>
    </row>
    <row r="91" spans="2:7" x14ac:dyDescent="0.35">
      <c r="B91" s="77"/>
      <c r="C91" s="77"/>
      <c r="D91" s="81" t="s">
        <v>5068</v>
      </c>
      <c r="E91" s="2"/>
      <c r="F91" s="62"/>
      <c r="G91" s="78"/>
    </row>
    <row r="92" spans="2:7" ht="29" outlineLevel="1" x14ac:dyDescent="0.35">
      <c r="B92" s="77"/>
      <c r="C92" s="77"/>
      <c r="D92" s="2" t="s">
        <v>4936</v>
      </c>
      <c r="E92" s="2" t="s">
        <v>4941</v>
      </c>
      <c r="F92" s="62"/>
      <c r="G92" s="26" t="s">
        <v>341</v>
      </c>
    </row>
    <row r="93" spans="2:7" ht="29" outlineLevel="1" x14ac:dyDescent="0.35">
      <c r="B93" s="77"/>
      <c r="C93" s="77"/>
      <c r="D93" s="2" t="s">
        <v>4937</v>
      </c>
      <c r="E93" s="2" t="s">
        <v>1228</v>
      </c>
      <c r="F93" s="62"/>
      <c r="G93" s="26" t="s">
        <v>341</v>
      </c>
    </row>
    <row r="94" spans="2:7" ht="43.5" outlineLevel="1" x14ac:dyDescent="0.35">
      <c r="B94" s="77"/>
      <c r="C94" s="77"/>
      <c r="D94" s="2" t="s">
        <v>4938</v>
      </c>
      <c r="E94" s="2" t="s">
        <v>4233</v>
      </c>
      <c r="F94" s="62"/>
      <c r="G94" s="26" t="s">
        <v>341</v>
      </c>
    </row>
    <row r="95" spans="2:7" ht="29" outlineLevel="1" x14ac:dyDescent="0.35">
      <c r="B95" s="77"/>
      <c r="C95" s="77"/>
      <c r="D95" s="2" t="s">
        <v>4939</v>
      </c>
      <c r="E95" s="2" t="s">
        <v>4942</v>
      </c>
      <c r="F95" s="62"/>
      <c r="G95" s="26" t="s">
        <v>341</v>
      </c>
    </row>
    <row r="96" spans="2:7" ht="29" outlineLevel="1" x14ac:dyDescent="0.35">
      <c r="B96" s="77"/>
      <c r="C96" s="77"/>
      <c r="D96" s="2" t="s">
        <v>4940</v>
      </c>
      <c r="E96" s="2" t="s">
        <v>4943</v>
      </c>
      <c r="F96" s="62"/>
      <c r="G96" s="26" t="s">
        <v>341</v>
      </c>
    </row>
    <row r="97" spans="2:7" x14ac:dyDescent="0.35">
      <c r="B97" s="77"/>
      <c r="C97" s="77"/>
      <c r="D97" s="81" t="s">
        <v>5001</v>
      </c>
      <c r="E97" s="2"/>
      <c r="F97" s="62"/>
      <c r="G97" s="78"/>
    </row>
    <row r="98" spans="2:7" ht="72.5" outlineLevel="1" x14ac:dyDescent="0.35">
      <c r="B98" s="77"/>
      <c r="C98" s="77"/>
      <c r="D98" s="2" t="s">
        <v>5002</v>
      </c>
      <c r="E98" s="2" t="s">
        <v>4219</v>
      </c>
      <c r="F98" s="62"/>
      <c r="G98" s="26" t="s">
        <v>341</v>
      </c>
    </row>
    <row r="99" spans="2:7" ht="72.5" outlineLevel="1" x14ac:dyDescent="0.35">
      <c r="B99" s="77"/>
      <c r="C99" s="77"/>
      <c r="D99" s="2" t="s">
        <v>5003</v>
      </c>
      <c r="E99" s="2" t="s">
        <v>3889</v>
      </c>
      <c r="F99" s="62"/>
      <c r="G99" s="26" t="s">
        <v>341</v>
      </c>
    </row>
    <row r="100" spans="2:7" outlineLevel="1" x14ac:dyDescent="0.35">
      <c r="B100" s="77"/>
      <c r="C100" s="77"/>
      <c r="D100" s="2" t="s">
        <v>5004</v>
      </c>
      <c r="E100" s="2" t="s">
        <v>5019</v>
      </c>
      <c r="F100" s="62"/>
      <c r="G100" s="26" t="s">
        <v>341</v>
      </c>
    </row>
    <row r="101" spans="2:7" outlineLevel="1" x14ac:dyDescent="0.35">
      <c r="B101" s="77"/>
      <c r="C101" s="77"/>
      <c r="D101" s="2" t="s">
        <v>5105</v>
      </c>
      <c r="E101" s="2" t="s">
        <v>631</v>
      </c>
      <c r="F101" s="62"/>
      <c r="G101" s="26" t="s">
        <v>341</v>
      </c>
    </row>
    <row r="102" spans="2:7" ht="58" outlineLevel="1" x14ac:dyDescent="0.35">
      <c r="B102" s="77"/>
      <c r="C102" s="77"/>
      <c r="D102" s="2" t="s">
        <v>5005</v>
      </c>
      <c r="E102" s="2" t="s">
        <v>5020</v>
      </c>
      <c r="F102" s="62"/>
      <c r="G102" s="26" t="s">
        <v>341</v>
      </c>
    </row>
    <row r="103" spans="2:7" ht="29" outlineLevel="1" x14ac:dyDescent="0.35">
      <c r="B103" s="77"/>
      <c r="C103" s="77"/>
      <c r="D103" s="2" t="s">
        <v>5006</v>
      </c>
      <c r="E103" s="2" t="s">
        <v>5021</v>
      </c>
      <c r="F103" s="62"/>
      <c r="G103" s="26" t="s">
        <v>341</v>
      </c>
    </row>
    <row r="104" spans="2:7" ht="58" outlineLevel="1" x14ac:dyDescent="0.35">
      <c r="B104" s="77"/>
      <c r="C104" s="77"/>
      <c r="D104" s="2" t="s">
        <v>5007</v>
      </c>
      <c r="E104" s="2" t="s">
        <v>5022</v>
      </c>
      <c r="F104" s="62"/>
      <c r="G104" s="26" t="s">
        <v>341</v>
      </c>
    </row>
    <row r="105" spans="2:7" ht="101.5" outlineLevel="1" x14ac:dyDescent="0.35">
      <c r="B105" s="77"/>
      <c r="C105" s="77"/>
      <c r="D105" s="2" t="s">
        <v>5008</v>
      </c>
      <c r="E105" s="2" t="s">
        <v>2190</v>
      </c>
      <c r="F105" s="62"/>
      <c r="G105" s="26" t="s">
        <v>341</v>
      </c>
    </row>
    <row r="106" spans="2:7" ht="116" outlineLevel="1" x14ac:dyDescent="0.35">
      <c r="B106" s="77"/>
      <c r="C106" s="77"/>
      <c r="D106" s="2" t="s">
        <v>5009</v>
      </c>
      <c r="E106" s="2" t="s">
        <v>5023</v>
      </c>
      <c r="F106" s="62"/>
      <c r="G106" s="26" t="s">
        <v>341</v>
      </c>
    </row>
    <row r="107" spans="2:7" ht="101.5" outlineLevel="1" x14ac:dyDescent="0.35">
      <c r="B107" s="77"/>
      <c r="C107" s="77"/>
      <c r="D107" s="2" t="s">
        <v>5010</v>
      </c>
      <c r="E107" s="2" t="s">
        <v>2955</v>
      </c>
      <c r="F107" s="62"/>
      <c r="G107" s="26" t="s">
        <v>341</v>
      </c>
    </row>
    <row r="108" spans="2:7" ht="29" outlineLevel="1" x14ac:dyDescent="0.35">
      <c r="B108" s="77"/>
      <c r="C108" s="77"/>
      <c r="D108" s="2" t="s">
        <v>5011</v>
      </c>
      <c r="E108" s="2" t="s">
        <v>5024</v>
      </c>
      <c r="F108" s="62"/>
      <c r="G108" s="26" t="s">
        <v>341</v>
      </c>
    </row>
    <row r="109" spans="2:7" ht="72.5" outlineLevel="1" x14ac:dyDescent="0.35">
      <c r="B109" s="77"/>
      <c r="C109" s="77"/>
      <c r="D109" s="2" t="s">
        <v>5012</v>
      </c>
      <c r="E109" s="2" t="s">
        <v>3215</v>
      </c>
      <c r="F109" s="62"/>
      <c r="G109" s="26" t="s">
        <v>341</v>
      </c>
    </row>
    <row r="110" spans="2:7" outlineLevel="1" x14ac:dyDescent="0.35">
      <c r="B110" s="77"/>
      <c r="C110" s="77"/>
      <c r="D110" s="2" t="s">
        <v>5106</v>
      </c>
      <c r="E110" s="2" t="s">
        <v>5107</v>
      </c>
      <c r="F110" s="62"/>
      <c r="G110" s="26" t="s">
        <v>341</v>
      </c>
    </row>
    <row r="111" spans="2:7" ht="72.5" outlineLevel="1" x14ac:dyDescent="0.35">
      <c r="B111" s="77"/>
      <c r="C111" s="77"/>
      <c r="D111" s="2" t="s">
        <v>5013</v>
      </c>
      <c r="E111" s="2" t="s">
        <v>360</v>
      </c>
      <c r="F111" s="62"/>
      <c r="G111" s="26" t="s">
        <v>341</v>
      </c>
    </row>
    <row r="112" spans="2:7" ht="72.5" outlineLevel="1" x14ac:dyDescent="0.35">
      <c r="B112" s="77"/>
      <c r="C112" s="77"/>
      <c r="D112" s="2" t="s">
        <v>5014</v>
      </c>
      <c r="E112" s="2" t="s">
        <v>5025</v>
      </c>
      <c r="F112" s="62"/>
      <c r="G112" s="26" t="s">
        <v>341</v>
      </c>
    </row>
    <row r="113" spans="2:7" ht="43.5" outlineLevel="1" x14ac:dyDescent="0.35">
      <c r="B113" s="77"/>
      <c r="C113" s="77"/>
      <c r="D113" s="2" t="s">
        <v>5015</v>
      </c>
      <c r="E113" s="2" t="s">
        <v>5026</v>
      </c>
      <c r="F113" s="62"/>
      <c r="G113" s="26" t="s">
        <v>341</v>
      </c>
    </row>
    <row r="114" spans="2:7" ht="29" outlineLevel="1" x14ac:dyDescent="0.35">
      <c r="B114" s="77"/>
      <c r="C114" s="77"/>
      <c r="D114" s="2" t="s">
        <v>5016</v>
      </c>
      <c r="E114" s="2" t="s">
        <v>5027</v>
      </c>
      <c r="F114" s="62"/>
      <c r="G114" s="26" t="s">
        <v>341</v>
      </c>
    </row>
    <row r="115" spans="2:7" ht="43.5" outlineLevel="1" x14ac:dyDescent="0.35">
      <c r="B115" s="77"/>
      <c r="C115" s="77"/>
      <c r="D115" s="2" t="s">
        <v>5017</v>
      </c>
      <c r="E115" s="2" t="s">
        <v>5028</v>
      </c>
      <c r="F115" s="62"/>
      <c r="G115" s="26" t="s">
        <v>341</v>
      </c>
    </row>
    <row r="116" spans="2:7" ht="29" outlineLevel="1" x14ac:dyDescent="0.35">
      <c r="B116" s="77"/>
      <c r="C116" s="77"/>
      <c r="D116" s="2" t="s">
        <v>5018</v>
      </c>
      <c r="E116" s="2" t="s">
        <v>5029</v>
      </c>
      <c r="F116" s="62"/>
      <c r="G116" s="26" t="s">
        <v>341</v>
      </c>
    </row>
    <row r="117" spans="2:7" x14ac:dyDescent="0.35">
      <c r="B117" s="77"/>
      <c r="C117" s="77"/>
      <c r="D117" s="81" t="s">
        <v>5157</v>
      </c>
      <c r="E117" s="2"/>
      <c r="F117" s="62"/>
      <c r="G117" s="78"/>
    </row>
    <row r="118" spans="2:7" ht="43.5" outlineLevel="1" x14ac:dyDescent="0.35">
      <c r="B118" s="77"/>
      <c r="C118" s="77"/>
      <c r="D118" s="2" t="s">
        <v>5158</v>
      </c>
      <c r="E118" s="2" t="s">
        <v>5170</v>
      </c>
      <c r="F118" s="62"/>
      <c r="G118" s="26" t="s">
        <v>341</v>
      </c>
    </row>
    <row r="119" spans="2:7" ht="43.5" outlineLevel="1" x14ac:dyDescent="0.35">
      <c r="B119" s="77"/>
      <c r="C119" s="77"/>
      <c r="D119" s="2" t="s">
        <v>5159</v>
      </c>
      <c r="E119" s="2" t="s">
        <v>5171</v>
      </c>
      <c r="F119" s="62"/>
      <c r="G119" s="26" t="s">
        <v>341</v>
      </c>
    </row>
    <row r="120" spans="2:7" ht="58" outlineLevel="1" x14ac:dyDescent="0.35">
      <c r="B120" s="77"/>
      <c r="C120" s="77"/>
      <c r="D120" s="2" t="s">
        <v>5160</v>
      </c>
      <c r="E120" s="2" t="s">
        <v>5172</v>
      </c>
      <c r="F120" s="62"/>
      <c r="G120" s="26" t="s">
        <v>341</v>
      </c>
    </row>
    <row r="121" spans="2:7" ht="58" outlineLevel="1" x14ac:dyDescent="0.35">
      <c r="B121" s="77"/>
      <c r="C121" s="77"/>
      <c r="D121" s="2" t="s">
        <v>5161</v>
      </c>
      <c r="E121" s="2" t="s">
        <v>5173</v>
      </c>
      <c r="F121" s="62"/>
      <c r="G121" s="26" t="s">
        <v>341</v>
      </c>
    </row>
    <row r="122" spans="2:7" ht="43.5" outlineLevel="1" x14ac:dyDescent="0.35">
      <c r="B122" s="77"/>
      <c r="C122" s="77"/>
      <c r="D122" s="2" t="s">
        <v>5162</v>
      </c>
      <c r="E122" s="2" t="s">
        <v>5174</v>
      </c>
      <c r="F122" s="62"/>
      <c r="G122" s="26" t="s">
        <v>341</v>
      </c>
    </row>
    <row r="123" spans="2:7" ht="29" outlineLevel="1" x14ac:dyDescent="0.35">
      <c r="B123" s="77"/>
      <c r="C123" s="77"/>
      <c r="D123" s="2" t="s">
        <v>5163</v>
      </c>
      <c r="E123" s="2" t="s">
        <v>3242</v>
      </c>
      <c r="F123" s="62"/>
      <c r="G123" s="26" t="s">
        <v>341</v>
      </c>
    </row>
    <row r="124" spans="2:7" ht="43.5" outlineLevel="1" x14ac:dyDescent="0.35">
      <c r="B124" s="77"/>
      <c r="C124" s="77"/>
      <c r="D124" s="2" t="s">
        <v>5164</v>
      </c>
      <c r="E124" s="2" t="s">
        <v>5175</v>
      </c>
      <c r="F124" s="62"/>
      <c r="G124" s="26" t="s">
        <v>341</v>
      </c>
    </row>
    <row r="125" spans="2:7" ht="43.5" outlineLevel="1" x14ac:dyDescent="0.35">
      <c r="B125" s="77"/>
      <c r="C125" s="77"/>
      <c r="D125" s="2" t="s">
        <v>5165</v>
      </c>
      <c r="E125" s="2" t="s">
        <v>5176</v>
      </c>
      <c r="F125" s="62"/>
      <c r="G125" s="26" t="s">
        <v>341</v>
      </c>
    </row>
    <row r="126" spans="2:7" ht="29" outlineLevel="1" x14ac:dyDescent="0.35">
      <c r="B126" s="77"/>
      <c r="C126" s="77"/>
      <c r="D126" s="2" t="s">
        <v>5166</v>
      </c>
      <c r="E126" s="2" t="s">
        <v>5177</v>
      </c>
      <c r="F126" s="62"/>
      <c r="G126" s="26" t="s">
        <v>341</v>
      </c>
    </row>
    <row r="127" spans="2:7" ht="58" outlineLevel="1" x14ac:dyDescent="0.35">
      <c r="B127" s="77"/>
      <c r="C127" s="77"/>
      <c r="D127" s="2" t="s">
        <v>5167</v>
      </c>
      <c r="E127" s="2" t="s">
        <v>2726</v>
      </c>
      <c r="F127" s="62"/>
      <c r="G127" s="26" t="s">
        <v>341</v>
      </c>
    </row>
    <row r="128" spans="2:7" ht="43.5" outlineLevel="1" x14ac:dyDescent="0.35">
      <c r="B128" s="77"/>
      <c r="C128" s="77"/>
      <c r="D128" s="2" t="s">
        <v>5168</v>
      </c>
      <c r="E128" s="2" t="s">
        <v>2722</v>
      </c>
      <c r="F128" s="62"/>
      <c r="G128" s="26" t="s">
        <v>341</v>
      </c>
    </row>
    <row r="129" spans="2:7" ht="58" outlineLevel="1" x14ac:dyDescent="0.35">
      <c r="B129" s="77"/>
      <c r="C129" s="77"/>
      <c r="D129" s="2" t="s">
        <v>5169</v>
      </c>
      <c r="E129" s="2" t="s">
        <v>2349</v>
      </c>
      <c r="F129" s="62"/>
      <c r="G129" s="26" t="s">
        <v>341</v>
      </c>
    </row>
    <row r="130" spans="2:7" x14ac:dyDescent="0.35">
      <c r="B130" s="77"/>
      <c r="C130" s="77"/>
      <c r="D130" s="81" t="s">
        <v>5178</v>
      </c>
      <c r="E130" s="2"/>
      <c r="F130" s="62"/>
      <c r="G130" s="78"/>
    </row>
    <row r="131" spans="2:7" ht="72.5" outlineLevel="1" x14ac:dyDescent="0.35">
      <c r="B131" s="77"/>
      <c r="C131" s="77"/>
      <c r="D131" s="2" t="s">
        <v>5179</v>
      </c>
      <c r="E131" s="2" t="s">
        <v>894</v>
      </c>
      <c r="F131" s="62"/>
      <c r="G131" s="26" t="s">
        <v>341</v>
      </c>
    </row>
    <row r="132" spans="2:7" ht="29" outlineLevel="1" x14ac:dyDescent="0.35">
      <c r="B132" s="77"/>
      <c r="C132" s="77"/>
      <c r="D132" s="2" t="s">
        <v>5180</v>
      </c>
      <c r="E132" s="2" t="s">
        <v>5183</v>
      </c>
      <c r="F132" s="62"/>
      <c r="G132" s="26" t="s">
        <v>341</v>
      </c>
    </row>
    <row r="133" spans="2:7" ht="29" outlineLevel="1" x14ac:dyDescent="0.35">
      <c r="B133" s="77"/>
      <c r="C133" s="77"/>
      <c r="D133" s="2" t="s">
        <v>5181</v>
      </c>
      <c r="E133" s="2" t="s">
        <v>5184</v>
      </c>
      <c r="F133" s="62"/>
      <c r="G133" s="26" t="s">
        <v>341</v>
      </c>
    </row>
    <row r="134" spans="2:7" ht="29" outlineLevel="1" x14ac:dyDescent="0.35">
      <c r="B134" s="77"/>
      <c r="C134" s="77"/>
      <c r="D134" s="2" t="s">
        <v>5182</v>
      </c>
      <c r="E134" s="2" t="s">
        <v>5185</v>
      </c>
      <c r="F134" s="62"/>
      <c r="G134" s="26" t="s">
        <v>341</v>
      </c>
    </row>
    <row r="135" spans="2:7" ht="29" outlineLevel="1" x14ac:dyDescent="0.35">
      <c r="B135" s="77"/>
      <c r="C135" s="77"/>
      <c r="D135" s="2" t="s">
        <v>5190</v>
      </c>
      <c r="E135" s="2" t="s">
        <v>728</v>
      </c>
      <c r="F135" s="62"/>
      <c r="G135" s="26" t="s">
        <v>341</v>
      </c>
    </row>
    <row r="136" spans="2:7" ht="43.5" outlineLevel="1" x14ac:dyDescent="0.35">
      <c r="B136" s="77"/>
      <c r="C136" s="77"/>
      <c r="D136" s="2" t="s">
        <v>5191</v>
      </c>
      <c r="E136" s="2" t="s">
        <v>4900</v>
      </c>
      <c r="F136" s="62"/>
      <c r="G136" s="26" t="s">
        <v>341</v>
      </c>
    </row>
    <row r="137" spans="2:7" outlineLevel="1" x14ac:dyDescent="0.35">
      <c r="B137" s="77"/>
      <c r="C137" s="77"/>
      <c r="D137" s="2" t="s">
        <v>5192</v>
      </c>
      <c r="E137" s="2" t="s">
        <v>4235</v>
      </c>
      <c r="F137" s="62"/>
      <c r="G137" s="26" t="s">
        <v>341</v>
      </c>
    </row>
    <row r="138" spans="2:7" ht="58" outlineLevel="1" x14ac:dyDescent="0.35">
      <c r="B138" s="77"/>
      <c r="C138" s="77"/>
      <c r="D138" s="2" t="s">
        <v>5193</v>
      </c>
      <c r="E138" s="2" t="s">
        <v>4902</v>
      </c>
      <c r="F138" s="62"/>
      <c r="G138" s="26" t="s">
        <v>341</v>
      </c>
    </row>
    <row r="139" spans="2:7" ht="43.5" outlineLevel="1" x14ac:dyDescent="0.35">
      <c r="B139" s="77"/>
      <c r="C139" s="77"/>
      <c r="D139" s="2" t="s">
        <v>5194</v>
      </c>
      <c r="E139" s="2" t="s">
        <v>896</v>
      </c>
      <c r="F139" s="62"/>
      <c r="G139" s="26" t="s">
        <v>341</v>
      </c>
    </row>
    <row r="140" spans="2:7" ht="29" outlineLevel="1" x14ac:dyDescent="0.35">
      <c r="B140" s="77"/>
      <c r="C140" s="77"/>
      <c r="D140" s="2" t="s">
        <v>5195</v>
      </c>
      <c r="E140" s="2" t="s">
        <v>525</v>
      </c>
      <c r="F140" s="62"/>
      <c r="G140" s="26" t="s">
        <v>341</v>
      </c>
    </row>
    <row r="141" spans="2:7" ht="29" outlineLevel="1" x14ac:dyDescent="0.35">
      <c r="B141" s="77"/>
      <c r="C141" s="77"/>
      <c r="D141" s="2" t="s">
        <v>5196</v>
      </c>
      <c r="E141" s="2" t="s">
        <v>4904</v>
      </c>
      <c r="F141" s="62"/>
      <c r="G141" s="26" t="s">
        <v>341</v>
      </c>
    </row>
    <row r="142" spans="2:7" x14ac:dyDescent="0.35">
      <c r="B142" s="77"/>
      <c r="C142" s="77"/>
      <c r="D142" s="81" t="s">
        <v>5256</v>
      </c>
      <c r="E142" s="2"/>
      <c r="F142" s="62"/>
      <c r="G142" s="78"/>
    </row>
    <row r="143" spans="2:7" outlineLevel="1" x14ac:dyDescent="0.35">
      <c r="B143" s="77"/>
      <c r="C143" s="77"/>
      <c r="D143" s="2" t="s">
        <v>5257</v>
      </c>
      <c r="E143" s="2" t="s">
        <v>5267</v>
      </c>
      <c r="F143" s="62"/>
      <c r="G143" s="26" t="s">
        <v>341</v>
      </c>
    </row>
    <row r="144" spans="2:7" ht="72.5" outlineLevel="1" x14ac:dyDescent="0.35">
      <c r="B144" s="77"/>
      <c r="C144" s="77"/>
      <c r="D144" s="2" t="s">
        <v>5258</v>
      </c>
      <c r="E144" s="2" t="s">
        <v>5268</v>
      </c>
      <c r="F144" s="62"/>
      <c r="G144" s="26" t="s">
        <v>341</v>
      </c>
    </row>
    <row r="145" spans="2:7" ht="58" outlineLevel="1" x14ac:dyDescent="0.35">
      <c r="B145" s="77"/>
      <c r="C145" s="77"/>
      <c r="D145" s="2" t="s">
        <v>5259</v>
      </c>
      <c r="E145" s="2" t="s">
        <v>4911</v>
      </c>
      <c r="F145" s="62"/>
      <c r="G145" s="26" t="s">
        <v>341</v>
      </c>
    </row>
    <row r="146" spans="2:7" ht="116" outlineLevel="1" x14ac:dyDescent="0.35">
      <c r="B146" s="77"/>
      <c r="C146" s="77"/>
      <c r="D146" s="2" t="s">
        <v>5260</v>
      </c>
      <c r="E146" s="2" t="s">
        <v>1453</v>
      </c>
      <c r="F146" s="62"/>
      <c r="G146" s="26" t="s">
        <v>341</v>
      </c>
    </row>
    <row r="147" spans="2:7" ht="116" outlineLevel="1" x14ac:dyDescent="0.35">
      <c r="B147" s="77"/>
      <c r="C147" s="77"/>
      <c r="D147" s="2" t="s">
        <v>5261</v>
      </c>
      <c r="E147" s="2" t="s">
        <v>1388</v>
      </c>
      <c r="F147" s="62"/>
      <c r="G147" s="26" t="s">
        <v>341</v>
      </c>
    </row>
    <row r="148" spans="2:7" ht="116" outlineLevel="1" x14ac:dyDescent="0.35">
      <c r="B148" s="77"/>
      <c r="C148" s="77"/>
      <c r="D148" s="2" t="s">
        <v>5262</v>
      </c>
      <c r="E148" s="2" t="s">
        <v>1426</v>
      </c>
      <c r="F148" s="62"/>
      <c r="G148" s="26" t="s">
        <v>341</v>
      </c>
    </row>
    <row r="149" spans="2:7" ht="130.5" outlineLevel="1" x14ac:dyDescent="0.35">
      <c r="B149" s="77"/>
      <c r="C149" s="77"/>
      <c r="D149" s="2" t="s">
        <v>5263</v>
      </c>
      <c r="E149" s="2" t="s">
        <v>1454</v>
      </c>
      <c r="F149" s="62"/>
      <c r="G149" s="26" t="s">
        <v>341</v>
      </c>
    </row>
    <row r="150" spans="2:7" outlineLevel="1" x14ac:dyDescent="0.35">
      <c r="B150" s="77"/>
      <c r="C150" s="77"/>
      <c r="D150" s="2" t="s">
        <v>5264</v>
      </c>
      <c r="E150" s="2" t="s">
        <v>1269</v>
      </c>
      <c r="F150" s="62"/>
      <c r="G150" s="26" t="s">
        <v>341</v>
      </c>
    </row>
    <row r="151" spans="2:7" ht="29" outlineLevel="1" x14ac:dyDescent="0.35">
      <c r="B151" s="77"/>
      <c r="C151" s="77"/>
      <c r="D151" s="2" t="s">
        <v>5265</v>
      </c>
      <c r="E151" s="2" t="s">
        <v>5269</v>
      </c>
      <c r="F151" s="62"/>
      <c r="G151" s="26" t="s">
        <v>341</v>
      </c>
    </row>
    <row r="152" spans="2:7" ht="130.5" outlineLevel="1" x14ac:dyDescent="0.35">
      <c r="B152" s="77"/>
      <c r="C152" s="77"/>
      <c r="D152" s="2" t="s">
        <v>5266</v>
      </c>
      <c r="E152" s="2" t="s">
        <v>5270</v>
      </c>
      <c r="F152" s="62"/>
      <c r="G152" s="26" t="s">
        <v>341</v>
      </c>
    </row>
    <row r="153" spans="2:7" ht="43.5" outlineLevel="1" x14ac:dyDescent="0.35">
      <c r="B153" s="77"/>
      <c r="C153" s="77"/>
      <c r="D153" s="2" t="s">
        <v>5273</v>
      </c>
      <c r="E153" s="2" t="s">
        <v>5274</v>
      </c>
      <c r="F153" s="62"/>
      <c r="G153" s="26" t="s">
        <v>341</v>
      </c>
    </row>
    <row r="154" spans="2:7" ht="43.5" outlineLevel="1" x14ac:dyDescent="0.35">
      <c r="B154" s="77"/>
      <c r="C154" s="77"/>
      <c r="D154" s="2" t="s">
        <v>5275</v>
      </c>
      <c r="E154" s="2" t="s">
        <v>619</v>
      </c>
      <c r="F154" s="62"/>
      <c r="G154" s="26" t="s">
        <v>341</v>
      </c>
    </row>
    <row r="155" spans="2:7" ht="29" outlineLevel="1" x14ac:dyDescent="0.35">
      <c r="B155" s="77"/>
      <c r="C155" s="77"/>
      <c r="D155" s="2" t="s">
        <v>5304</v>
      </c>
      <c r="E155" s="2" t="s">
        <v>5307</v>
      </c>
      <c r="F155" s="62"/>
      <c r="G155" s="26" t="s">
        <v>341</v>
      </c>
    </row>
    <row r="156" spans="2:7" ht="43.5" outlineLevel="1" x14ac:dyDescent="0.35">
      <c r="B156" s="77"/>
      <c r="C156" s="77"/>
      <c r="D156" s="2" t="s">
        <v>5271</v>
      </c>
      <c r="E156" s="2" t="s">
        <v>4679</v>
      </c>
      <c r="F156" s="62"/>
      <c r="G156" s="26" t="s">
        <v>341</v>
      </c>
    </row>
    <row r="157" spans="2:7" outlineLevel="1" x14ac:dyDescent="0.35">
      <c r="B157" s="77"/>
      <c r="C157" s="77"/>
      <c r="D157" s="2" t="s">
        <v>5272</v>
      </c>
      <c r="E157" s="2" t="s">
        <v>516</v>
      </c>
      <c r="F157" s="62"/>
      <c r="G157" s="26" t="s">
        <v>341</v>
      </c>
    </row>
    <row r="158" spans="2:7" x14ac:dyDescent="0.35">
      <c r="B158" s="77"/>
      <c r="C158" s="77"/>
      <c r="D158" s="81" t="s">
        <v>5386</v>
      </c>
      <c r="E158" s="2"/>
      <c r="F158" s="62"/>
      <c r="G158" s="78"/>
    </row>
    <row r="159" spans="2:7" ht="29" outlineLevel="1" x14ac:dyDescent="0.35">
      <c r="B159" s="77"/>
      <c r="C159" s="77"/>
      <c r="D159" s="2" t="s">
        <v>5592</v>
      </c>
      <c r="E159" s="2" t="s">
        <v>5623</v>
      </c>
      <c r="F159" s="62"/>
      <c r="G159" s="26" t="s">
        <v>341</v>
      </c>
    </row>
    <row r="160" spans="2:7" ht="29" outlineLevel="1" x14ac:dyDescent="0.35">
      <c r="B160" s="77"/>
      <c r="C160" s="77"/>
      <c r="D160" s="2" t="s">
        <v>5593</v>
      </c>
      <c r="E160" s="2" t="s">
        <v>804</v>
      </c>
      <c r="F160" s="62"/>
      <c r="G160" s="26" t="s">
        <v>341</v>
      </c>
    </row>
    <row r="161" spans="2:7" ht="29" outlineLevel="1" x14ac:dyDescent="0.35">
      <c r="B161" s="77"/>
      <c r="C161" s="77"/>
      <c r="D161" s="2" t="s">
        <v>5594</v>
      </c>
      <c r="E161" s="2" t="s">
        <v>807</v>
      </c>
      <c r="F161" s="62"/>
      <c r="G161" s="26" t="s">
        <v>341</v>
      </c>
    </row>
    <row r="162" spans="2:7" ht="29" outlineLevel="1" x14ac:dyDescent="0.35">
      <c r="B162" s="77"/>
      <c r="C162" s="77"/>
      <c r="D162" s="2" t="s">
        <v>5595</v>
      </c>
      <c r="E162" s="2" t="s">
        <v>5624</v>
      </c>
      <c r="F162" s="62"/>
      <c r="G162" s="26" t="s">
        <v>341</v>
      </c>
    </row>
    <row r="163" spans="2:7" ht="29" outlineLevel="1" x14ac:dyDescent="0.35">
      <c r="B163" s="77"/>
      <c r="C163" s="77"/>
      <c r="D163" s="2" t="s">
        <v>5376</v>
      </c>
      <c r="E163" s="2" t="s">
        <v>2870</v>
      </c>
      <c r="F163" s="62"/>
      <c r="G163" s="26" t="s">
        <v>341</v>
      </c>
    </row>
    <row r="164" spans="2:7" ht="29" outlineLevel="1" x14ac:dyDescent="0.35">
      <c r="B164" s="77"/>
      <c r="C164" s="77"/>
      <c r="D164" s="2" t="s">
        <v>5596</v>
      </c>
      <c r="E164" s="2" t="s">
        <v>121</v>
      </c>
      <c r="F164" s="62"/>
      <c r="G164" s="26" t="s">
        <v>341</v>
      </c>
    </row>
    <row r="165" spans="2:7" ht="29" outlineLevel="1" x14ac:dyDescent="0.35">
      <c r="B165" s="77"/>
      <c r="C165" s="77"/>
      <c r="D165" s="2" t="s">
        <v>5597</v>
      </c>
      <c r="E165" s="2" t="s">
        <v>2934</v>
      </c>
      <c r="F165" s="62"/>
      <c r="G165" s="26" t="s">
        <v>341</v>
      </c>
    </row>
    <row r="166" spans="2:7" ht="29" outlineLevel="1" x14ac:dyDescent="0.35">
      <c r="B166" s="77"/>
      <c r="C166" s="77"/>
      <c r="D166" s="2" t="s">
        <v>5598</v>
      </c>
      <c r="E166" s="2" t="s">
        <v>373</v>
      </c>
      <c r="F166" s="62"/>
      <c r="G166" s="26" t="s">
        <v>341</v>
      </c>
    </row>
    <row r="167" spans="2:7" outlineLevel="1" x14ac:dyDescent="0.35">
      <c r="B167" s="77"/>
      <c r="C167" s="77"/>
      <c r="D167" s="2" t="s">
        <v>5599</v>
      </c>
      <c r="E167" s="2" t="s">
        <v>5625</v>
      </c>
      <c r="F167" s="62"/>
      <c r="G167" s="26" t="s">
        <v>341</v>
      </c>
    </row>
    <row r="168" spans="2:7" ht="43.5" outlineLevel="1" x14ac:dyDescent="0.35">
      <c r="B168" s="77"/>
      <c r="C168" s="77"/>
      <c r="D168" s="2" t="s">
        <v>5600</v>
      </c>
      <c r="E168" s="2" t="s">
        <v>5681</v>
      </c>
      <c r="F168" s="62"/>
      <c r="G168" s="26" t="s">
        <v>341</v>
      </c>
    </row>
    <row r="169" spans="2:7" ht="29" outlineLevel="1" x14ac:dyDescent="0.35">
      <c r="B169" s="77"/>
      <c r="C169" s="77"/>
      <c r="D169" s="2" t="s">
        <v>5377</v>
      </c>
      <c r="E169" s="2" t="s">
        <v>5387</v>
      </c>
      <c r="F169" s="62"/>
      <c r="G169" s="26" t="s">
        <v>341</v>
      </c>
    </row>
    <row r="170" spans="2:7" ht="29" outlineLevel="1" x14ac:dyDescent="0.35">
      <c r="B170" s="77"/>
      <c r="C170" s="77"/>
      <c r="D170" s="2" t="s">
        <v>5378</v>
      </c>
      <c r="E170" s="2" t="s">
        <v>2872</v>
      </c>
      <c r="F170" s="62"/>
      <c r="G170" s="26" t="s">
        <v>341</v>
      </c>
    </row>
    <row r="171" spans="2:7" ht="29" outlineLevel="1" x14ac:dyDescent="0.35">
      <c r="B171" s="77"/>
      <c r="C171" s="77"/>
      <c r="D171" s="2" t="s">
        <v>5379</v>
      </c>
      <c r="E171" s="2" t="s">
        <v>627</v>
      </c>
      <c r="F171" s="62"/>
      <c r="G171" s="26" t="s">
        <v>341</v>
      </c>
    </row>
    <row r="172" spans="2:7" ht="43.5" outlineLevel="1" x14ac:dyDescent="0.35">
      <c r="B172" s="77"/>
      <c r="C172" s="77"/>
      <c r="D172" s="2" t="s">
        <v>5601</v>
      </c>
      <c r="E172" s="2" t="s">
        <v>798</v>
      </c>
      <c r="F172" s="62"/>
      <c r="G172" s="26" t="s">
        <v>341</v>
      </c>
    </row>
    <row r="173" spans="2:7" ht="29" outlineLevel="1" x14ac:dyDescent="0.35">
      <c r="B173" s="77"/>
      <c r="C173" s="77"/>
      <c r="D173" s="2" t="s">
        <v>5380</v>
      </c>
      <c r="E173" s="2" t="s">
        <v>5388</v>
      </c>
      <c r="F173" s="62"/>
      <c r="G173" s="26" t="s">
        <v>341</v>
      </c>
    </row>
    <row r="174" spans="2:7" ht="43.5" outlineLevel="1" x14ac:dyDescent="0.35">
      <c r="B174" s="77"/>
      <c r="C174" s="77"/>
      <c r="D174" s="2" t="s">
        <v>5381</v>
      </c>
      <c r="E174" s="2" t="s">
        <v>2803</v>
      </c>
      <c r="F174" s="62"/>
      <c r="G174" s="26" t="s">
        <v>341</v>
      </c>
    </row>
    <row r="175" spans="2:7" ht="43.5" outlineLevel="1" x14ac:dyDescent="0.35">
      <c r="B175" s="77"/>
      <c r="C175" s="77"/>
      <c r="D175" s="2" t="s">
        <v>5602</v>
      </c>
      <c r="E175" s="2" t="s">
        <v>799</v>
      </c>
      <c r="F175" s="62"/>
      <c r="G175" s="26" t="s">
        <v>341</v>
      </c>
    </row>
    <row r="176" spans="2:7" ht="29" outlineLevel="1" x14ac:dyDescent="0.35">
      <c r="B176" s="77"/>
      <c r="C176" s="77"/>
      <c r="D176" s="2" t="s">
        <v>5603</v>
      </c>
      <c r="E176" s="2" t="s">
        <v>5626</v>
      </c>
      <c r="F176" s="62"/>
      <c r="G176" s="26" t="s">
        <v>341</v>
      </c>
    </row>
    <row r="177" spans="2:7" ht="29" outlineLevel="1" x14ac:dyDescent="0.35">
      <c r="B177" s="77"/>
      <c r="C177" s="77"/>
      <c r="D177" s="2" t="s">
        <v>5604</v>
      </c>
      <c r="E177" s="2" t="s">
        <v>1647</v>
      </c>
      <c r="F177" s="62"/>
      <c r="G177" s="26" t="s">
        <v>341</v>
      </c>
    </row>
    <row r="178" spans="2:7" ht="43.5" outlineLevel="1" x14ac:dyDescent="0.35">
      <c r="B178" s="77"/>
      <c r="C178" s="77"/>
      <c r="D178" s="2" t="s">
        <v>5382</v>
      </c>
      <c r="E178" s="2" t="s">
        <v>5389</v>
      </c>
      <c r="F178" s="62"/>
      <c r="G178" s="26" t="s">
        <v>341</v>
      </c>
    </row>
    <row r="179" spans="2:7" ht="43.5" outlineLevel="1" x14ac:dyDescent="0.35">
      <c r="B179" s="77"/>
      <c r="C179" s="77"/>
      <c r="D179" s="2" t="s">
        <v>5383</v>
      </c>
      <c r="E179" s="2" t="s">
        <v>5390</v>
      </c>
      <c r="F179" s="62"/>
      <c r="G179" s="26" t="s">
        <v>341</v>
      </c>
    </row>
    <row r="180" spans="2:7" ht="43.5" outlineLevel="1" x14ac:dyDescent="0.35">
      <c r="B180" s="77"/>
      <c r="C180" s="77"/>
      <c r="D180" s="2" t="s">
        <v>5605</v>
      </c>
      <c r="E180" s="2" t="s">
        <v>5627</v>
      </c>
      <c r="F180" s="62"/>
      <c r="G180" s="26" t="s">
        <v>341</v>
      </c>
    </row>
    <row r="181" spans="2:7" ht="29" outlineLevel="1" x14ac:dyDescent="0.35">
      <c r="B181" s="77"/>
      <c r="C181" s="77"/>
      <c r="D181" s="2" t="s">
        <v>5606</v>
      </c>
      <c r="E181" s="2" t="s">
        <v>808</v>
      </c>
      <c r="F181" s="62"/>
      <c r="G181" s="26" t="s">
        <v>341</v>
      </c>
    </row>
    <row r="182" spans="2:7" ht="29" outlineLevel="1" x14ac:dyDescent="0.35">
      <c r="B182" s="77"/>
      <c r="C182" s="77"/>
      <c r="D182" s="2" t="s">
        <v>5607</v>
      </c>
      <c r="E182" s="2" t="s">
        <v>652</v>
      </c>
      <c r="F182" s="62"/>
      <c r="G182" s="26" t="s">
        <v>341</v>
      </c>
    </row>
    <row r="183" spans="2:7" ht="58" outlineLevel="1" x14ac:dyDescent="0.35">
      <c r="B183" s="77"/>
      <c r="C183" s="77"/>
      <c r="D183" s="2" t="s">
        <v>5608</v>
      </c>
      <c r="E183" s="2" t="s">
        <v>5628</v>
      </c>
      <c r="F183" s="62"/>
      <c r="G183" s="26" t="s">
        <v>341</v>
      </c>
    </row>
    <row r="184" spans="2:7" ht="29" outlineLevel="1" x14ac:dyDescent="0.35">
      <c r="B184" s="77"/>
      <c r="C184" s="77"/>
      <c r="D184" s="2" t="s">
        <v>5609</v>
      </c>
      <c r="E184" s="2" t="s">
        <v>116</v>
      </c>
      <c r="F184" s="62"/>
      <c r="G184" s="26" t="s">
        <v>341</v>
      </c>
    </row>
    <row r="185" spans="2:7" ht="29" outlineLevel="1" x14ac:dyDescent="0.35">
      <c r="B185" s="77"/>
      <c r="C185" s="77"/>
      <c r="D185" s="2" t="s">
        <v>5384</v>
      </c>
      <c r="E185" s="2" t="s">
        <v>2874</v>
      </c>
      <c r="F185" s="62"/>
      <c r="G185" s="26" t="s">
        <v>341</v>
      </c>
    </row>
    <row r="186" spans="2:7" ht="29" outlineLevel="1" x14ac:dyDescent="0.35">
      <c r="B186" s="77"/>
      <c r="C186" s="77"/>
      <c r="D186" s="2" t="s">
        <v>5610</v>
      </c>
      <c r="E186" s="2" t="s">
        <v>2935</v>
      </c>
      <c r="F186" s="62"/>
      <c r="G186" s="26" t="s">
        <v>341</v>
      </c>
    </row>
    <row r="187" spans="2:7" ht="29" outlineLevel="1" x14ac:dyDescent="0.35">
      <c r="B187" s="77"/>
      <c r="C187" s="77"/>
      <c r="D187" s="2" t="s">
        <v>5611</v>
      </c>
      <c r="E187" s="2" t="s">
        <v>2936</v>
      </c>
      <c r="F187" s="62"/>
      <c r="G187" s="26" t="s">
        <v>341</v>
      </c>
    </row>
    <row r="188" spans="2:7" ht="43.5" outlineLevel="1" x14ac:dyDescent="0.35">
      <c r="B188" s="77"/>
      <c r="C188" s="77"/>
      <c r="D188" s="2" t="s">
        <v>5612</v>
      </c>
      <c r="E188" s="2" t="s">
        <v>800</v>
      </c>
      <c r="F188" s="62"/>
      <c r="G188" s="26" t="s">
        <v>341</v>
      </c>
    </row>
    <row r="189" spans="2:7" ht="43.5" outlineLevel="1" x14ac:dyDescent="0.35">
      <c r="B189" s="77"/>
      <c r="C189" s="77"/>
      <c r="D189" s="2" t="s">
        <v>5613</v>
      </c>
      <c r="E189" s="2" t="s">
        <v>801</v>
      </c>
      <c r="F189" s="62"/>
      <c r="G189" s="26" t="s">
        <v>341</v>
      </c>
    </row>
    <row r="190" spans="2:7" ht="43.5" outlineLevel="1" x14ac:dyDescent="0.35">
      <c r="B190" s="77"/>
      <c r="C190" s="77"/>
      <c r="D190" s="2" t="s">
        <v>5614</v>
      </c>
      <c r="E190" s="2" t="s">
        <v>802</v>
      </c>
      <c r="F190" s="62"/>
      <c r="G190" s="26" t="s">
        <v>341</v>
      </c>
    </row>
    <row r="191" spans="2:7" ht="29" outlineLevel="1" x14ac:dyDescent="0.35">
      <c r="B191" s="77"/>
      <c r="C191" s="77"/>
      <c r="D191" s="2" t="s">
        <v>5615</v>
      </c>
      <c r="E191" s="2" t="s">
        <v>809</v>
      </c>
      <c r="F191" s="62"/>
      <c r="G191" s="26" t="s">
        <v>341</v>
      </c>
    </row>
    <row r="192" spans="2:7" ht="29" outlineLevel="1" x14ac:dyDescent="0.35">
      <c r="B192" s="77"/>
      <c r="C192" s="77"/>
      <c r="D192" s="2" t="s">
        <v>5616</v>
      </c>
      <c r="E192" s="2" t="s">
        <v>626</v>
      </c>
      <c r="F192" s="62"/>
      <c r="G192" s="26" t="s">
        <v>341</v>
      </c>
    </row>
    <row r="193" spans="2:7" outlineLevel="1" x14ac:dyDescent="0.35">
      <c r="B193" s="77"/>
      <c r="C193" s="77"/>
      <c r="D193" s="2" t="s">
        <v>5385</v>
      </c>
      <c r="E193" s="2" t="s">
        <v>1650</v>
      </c>
      <c r="F193" s="62"/>
      <c r="G193" s="26" t="s">
        <v>341</v>
      </c>
    </row>
    <row r="194" spans="2:7" ht="29" outlineLevel="1" x14ac:dyDescent="0.35">
      <c r="B194" s="77"/>
      <c r="C194" s="77"/>
      <c r="D194" s="2" t="s">
        <v>5617</v>
      </c>
      <c r="E194" s="2" t="s">
        <v>653</v>
      </c>
      <c r="F194" s="62"/>
      <c r="G194" s="26" t="s">
        <v>341</v>
      </c>
    </row>
    <row r="195" spans="2:7" ht="29" outlineLevel="1" x14ac:dyDescent="0.35">
      <c r="B195" s="77"/>
      <c r="C195" s="77"/>
      <c r="D195" s="2" t="s">
        <v>5618</v>
      </c>
      <c r="E195" s="2" t="s">
        <v>72</v>
      </c>
      <c r="F195" s="62"/>
      <c r="G195" s="26" t="s">
        <v>341</v>
      </c>
    </row>
    <row r="196" spans="2:7" ht="58" outlineLevel="1" x14ac:dyDescent="0.35">
      <c r="B196" s="77"/>
      <c r="C196" s="77"/>
      <c r="D196" s="2" t="s">
        <v>5619</v>
      </c>
      <c r="E196" s="2" t="s">
        <v>1915</v>
      </c>
      <c r="F196" s="62"/>
      <c r="G196" s="26" t="s">
        <v>341</v>
      </c>
    </row>
    <row r="197" spans="2:7" ht="29" outlineLevel="1" x14ac:dyDescent="0.35">
      <c r="B197" s="77"/>
      <c r="C197" s="77"/>
      <c r="D197" s="2" t="s">
        <v>5620</v>
      </c>
      <c r="E197" s="2" t="s">
        <v>810</v>
      </c>
      <c r="F197" s="62"/>
      <c r="G197" s="26" t="s">
        <v>341</v>
      </c>
    </row>
    <row r="198" spans="2:7" ht="29" outlineLevel="1" x14ac:dyDescent="0.35">
      <c r="B198" s="77"/>
      <c r="C198" s="77"/>
      <c r="D198" s="2" t="s">
        <v>5621</v>
      </c>
      <c r="E198" s="2" t="s">
        <v>4044</v>
      </c>
      <c r="F198" s="62"/>
      <c r="G198" s="26" t="s">
        <v>341</v>
      </c>
    </row>
    <row r="199" spans="2:7" outlineLevel="1" x14ac:dyDescent="0.35">
      <c r="B199" s="77"/>
      <c r="C199" s="77"/>
      <c r="D199" s="2" t="s">
        <v>5622</v>
      </c>
      <c r="E199" s="2" t="s">
        <v>629</v>
      </c>
      <c r="F199" s="62"/>
      <c r="G199" s="26" t="s">
        <v>341</v>
      </c>
    </row>
    <row r="200" spans="2:7" ht="29" x14ac:dyDescent="0.35">
      <c r="B200" s="77"/>
      <c r="C200" s="77"/>
      <c r="D200" s="81" t="s">
        <v>5629</v>
      </c>
      <c r="E200" s="2"/>
      <c r="F200" s="62"/>
      <c r="G200" s="78"/>
    </row>
    <row r="201" spans="2:7" ht="29" outlineLevel="1" x14ac:dyDescent="0.35">
      <c r="B201" s="77"/>
      <c r="C201" s="77"/>
      <c r="D201" s="2" t="s">
        <v>5630</v>
      </c>
      <c r="E201" s="2" t="s">
        <v>658</v>
      </c>
      <c r="F201" s="62"/>
      <c r="G201" s="26" t="s">
        <v>341</v>
      </c>
    </row>
    <row r="202" spans="2:7" outlineLevel="1" x14ac:dyDescent="0.35">
      <c r="B202" s="77"/>
      <c r="C202" s="77"/>
      <c r="D202" s="2" t="s">
        <v>5631</v>
      </c>
      <c r="E202" s="2" t="s">
        <v>659</v>
      </c>
      <c r="F202" s="62"/>
      <c r="G202" s="26" t="s">
        <v>341</v>
      </c>
    </row>
    <row r="203" spans="2:7" outlineLevel="1" x14ac:dyDescent="0.35">
      <c r="B203" s="77"/>
      <c r="C203" s="77"/>
      <c r="D203" s="2" t="s">
        <v>5632</v>
      </c>
      <c r="E203" s="2" t="s">
        <v>5639</v>
      </c>
      <c r="F203" s="62"/>
      <c r="G203" s="26" t="s">
        <v>341</v>
      </c>
    </row>
    <row r="204" spans="2:7" ht="29" outlineLevel="1" x14ac:dyDescent="0.35">
      <c r="B204" s="77"/>
      <c r="C204" s="77"/>
      <c r="D204" s="2" t="s">
        <v>5633</v>
      </c>
      <c r="E204" s="2" t="s">
        <v>5640</v>
      </c>
      <c r="F204" s="62"/>
      <c r="G204" s="26" t="s">
        <v>341</v>
      </c>
    </row>
    <row r="205" spans="2:7" ht="29" outlineLevel="1" x14ac:dyDescent="0.35">
      <c r="B205" s="77"/>
      <c r="C205" s="77"/>
      <c r="D205" s="2" t="s">
        <v>5634</v>
      </c>
      <c r="E205" s="2" t="s">
        <v>5641</v>
      </c>
      <c r="F205" s="62"/>
      <c r="G205" s="26" t="s">
        <v>341</v>
      </c>
    </row>
    <row r="206" spans="2:7" ht="43.5" outlineLevel="1" x14ac:dyDescent="0.35">
      <c r="B206" s="77"/>
      <c r="C206" s="77"/>
      <c r="D206" s="2" t="s">
        <v>5635</v>
      </c>
      <c r="E206" s="2" t="s">
        <v>5642</v>
      </c>
      <c r="F206" s="62"/>
      <c r="G206" s="26" t="s">
        <v>341</v>
      </c>
    </row>
    <row r="207" spans="2:7" ht="43.5" outlineLevel="1" x14ac:dyDescent="0.35">
      <c r="B207" s="77"/>
      <c r="C207" s="77"/>
      <c r="D207" s="2" t="s">
        <v>5636</v>
      </c>
      <c r="E207" s="2" t="s">
        <v>3005</v>
      </c>
      <c r="F207" s="62"/>
      <c r="G207" s="26" t="s">
        <v>341</v>
      </c>
    </row>
    <row r="208" spans="2:7" ht="43.5" outlineLevel="1" x14ac:dyDescent="0.35">
      <c r="B208" s="77"/>
      <c r="C208" s="77"/>
      <c r="D208" s="2" t="s">
        <v>5637</v>
      </c>
      <c r="E208" s="2" t="s">
        <v>5643</v>
      </c>
      <c r="F208" s="62"/>
      <c r="G208" s="26" t="s">
        <v>341</v>
      </c>
    </row>
    <row r="209" spans="2:8" outlineLevel="1" x14ac:dyDescent="0.35">
      <c r="B209" s="77"/>
      <c r="C209" s="77"/>
      <c r="D209" s="2" t="s">
        <v>5638</v>
      </c>
      <c r="E209" s="2" t="s">
        <v>1899</v>
      </c>
      <c r="F209" s="62"/>
      <c r="G209" s="26" t="s">
        <v>341</v>
      </c>
    </row>
    <row r="210" spans="2:8" x14ac:dyDescent="0.35">
      <c r="B210" s="77"/>
      <c r="C210" s="77"/>
      <c r="D210" s="81" t="s">
        <v>5644</v>
      </c>
      <c r="E210" s="2"/>
      <c r="F210" s="62"/>
      <c r="G210" s="78"/>
    </row>
    <row r="211" spans="2:8" ht="58" outlineLevel="1" x14ac:dyDescent="0.35">
      <c r="B211" s="77"/>
      <c r="C211" s="77"/>
      <c r="D211" s="2" t="s">
        <v>5645</v>
      </c>
      <c r="E211" s="2" t="s">
        <v>5652</v>
      </c>
      <c r="F211" s="62"/>
      <c r="G211" s="26" t="s">
        <v>341</v>
      </c>
    </row>
    <row r="212" spans="2:8" ht="43.5" outlineLevel="1" x14ac:dyDescent="0.35">
      <c r="B212" s="77"/>
      <c r="C212" s="77"/>
      <c r="D212" s="2" t="s">
        <v>5646</v>
      </c>
      <c r="E212" s="2" t="s">
        <v>5653</v>
      </c>
      <c r="F212" s="62"/>
      <c r="G212" s="26" t="s">
        <v>341</v>
      </c>
    </row>
    <row r="213" spans="2:8" ht="29" outlineLevel="1" x14ac:dyDescent="0.35">
      <c r="B213" s="77"/>
      <c r="C213" s="77"/>
      <c r="D213" s="2" t="s">
        <v>5647</v>
      </c>
      <c r="E213" s="2" t="s">
        <v>1209</v>
      </c>
      <c r="F213" s="62"/>
      <c r="G213" s="26" t="s">
        <v>341</v>
      </c>
    </row>
    <row r="214" spans="2:8" ht="29" outlineLevel="1" x14ac:dyDescent="0.35">
      <c r="B214" s="77"/>
      <c r="C214" s="77"/>
      <c r="D214" s="2" t="s">
        <v>5648</v>
      </c>
      <c r="E214" s="2" t="s">
        <v>670</v>
      </c>
      <c r="F214" s="62"/>
      <c r="G214" s="26" t="s">
        <v>341</v>
      </c>
    </row>
    <row r="215" spans="2:8" ht="58" outlineLevel="1" x14ac:dyDescent="0.35">
      <c r="B215" s="77"/>
      <c r="C215" s="77"/>
      <c r="D215" s="2" t="s">
        <v>5649</v>
      </c>
      <c r="E215" s="2" t="s">
        <v>5654</v>
      </c>
      <c r="F215" s="62"/>
      <c r="G215" s="26" t="s">
        <v>341</v>
      </c>
    </row>
    <row r="216" spans="2:8" ht="43.5" outlineLevel="1" x14ac:dyDescent="0.35">
      <c r="B216" s="77"/>
      <c r="C216" s="77"/>
      <c r="D216" s="2" t="s">
        <v>5650</v>
      </c>
      <c r="E216" s="2" t="s">
        <v>5655</v>
      </c>
      <c r="F216" s="62"/>
      <c r="G216" s="26" t="s">
        <v>341</v>
      </c>
    </row>
    <row r="217" spans="2:8" ht="29" outlineLevel="1" x14ac:dyDescent="0.35">
      <c r="B217" s="77"/>
      <c r="C217" s="77"/>
      <c r="D217" s="2" t="s">
        <v>5651</v>
      </c>
      <c r="E217" s="2" t="s">
        <v>5656</v>
      </c>
      <c r="F217" s="62"/>
      <c r="G217" s="26" t="s">
        <v>341</v>
      </c>
    </row>
    <row r="218" spans="2:8" x14ac:dyDescent="0.35">
      <c r="B218" s="77"/>
      <c r="C218" s="77" t="s">
        <v>4690</v>
      </c>
      <c r="D218" s="166"/>
      <c r="E218" s="2"/>
      <c r="G218" s="23">
        <f>COUNTIF(G219:G301,"Yes")</f>
        <v>79</v>
      </c>
      <c r="H218" s="74"/>
    </row>
    <row r="219" spans="2:8" x14ac:dyDescent="0.35">
      <c r="B219" s="77"/>
      <c r="C219" s="77"/>
      <c r="D219" s="81" t="s">
        <v>4918</v>
      </c>
      <c r="E219" s="2"/>
      <c r="F219" s="62"/>
      <c r="G219" s="178"/>
    </row>
    <row r="220" spans="2:8" ht="116" outlineLevel="1" x14ac:dyDescent="0.35">
      <c r="B220" s="77"/>
      <c r="C220" s="77"/>
      <c r="D220" s="2" t="s">
        <v>4691</v>
      </c>
      <c r="E220" s="2" t="s">
        <v>4925</v>
      </c>
      <c r="F220" s="62"/>
      <c r="G220" s="26" t="s">
        <v>341</v>
      </c>
    </row>
    <row r="221" spans="2:8" ht="72.5" outlineLevel="1" x14ac:dyDescent="0.35">
      <c r="B221" s="77"/>
      <c r="C221" s="77"/>
      <c r="D221" s="2" t="s">
        <v>4692</v>
      </c>
      <c r="E221" s="2" t="s">
        <v>2670</v>
      </c>
      <c r="F221" s="62"/>
      <c r="G221" s="26" t="s">
        <v>341</v>
      </c>
    </row>
    <row r="222" spans="2:8" ht="58" outlineLevel="1" x14ac:dyDescent="0.35">
      <c r="B222" s="77"/>
      <c r="C222" s="77"/>
      <c r="D222" s="2" t="s">
        <v>4693</v>
      </c>
      <c r="E222" s="2" t="s">
        <v>1865</v>
      </c>
      <c r="F222" s="62"/>
      <c r="G222" s="26" t="s">
        <v>341</v>
      </c>
    </row>
    <row r="223" spans="2:8" ht="43.5" outlineLevel="1" x14ac:dyDescent="0.35">
      <c r="B223" s="77"/>
      <c r="C223" s="77"/>
      <c r="D223" s="2" t="s">
        <v>4694</v>
      </c>
      <c r="E223" s="2" t="s">
        <v>4719</v>
      </c>
      <c r="F223" s="62"/>
      <c r="G223" s="26" t="s">
        <v>341</v>
      </c>
    </row>
    <row r="224" spans="2:8" ht="43.5" outlineLevel="1" x14ac:dyDescent="0.35">
      <c r="B224" s="77"/>
      <c r="C224" s="77"/>
      <c r="D224" s="2" t="s">
        <v>4695</v>
      </c>
      <c r="E224" s="2" t="s">
        <v>743</v>
      </c>
      <c r="F224" s="62"/>
      <c r="G224" s="26" t="s">
        <v>341</v>
      </c>
    </row>
    <row r="225" spans="2:7" ht="72.5" outlineLevel="1" x14ac:dyDescent="0.35">
      <c r="B225" s="77"/>
      <c r="C225" s="77"/>
      <c r="D225" s="2" t="s">
        <v>4696</v>
      </c>
      <c r="E225" s="2" t="s">
        <v>4720</v>
      </c>
      <c r="F225" s="62"/>
      <c r="G225" s="26" t="s">
        <v>341</v>
      </c>
    </row>
    <row r="226" spans="2:7" ht="58" outlineLevel="1" x14ac:dyDescent="0.35">
      <c r="B226" s="77"/>
      <c r="C226" s="77"/>
      <c r="D226" s="2" t="s">
        <v>4697</v>
      </c>
      <c r="E226" s="2" t="s">
        <v>4721</v>
      </c>
      <c r="F226" s="62"/>
      <c r="G226" s="26" t="s">
        <v>341</v>
      </c>
    </row>
    <row r="227" spans="2:7" ht="72.5" outlineLevel="1" x14ac:dyDescent="0.35">
      <c r="B227" s="77"/>
      <c r="C227" s="77"/>
      <c r="D227" s="2" t="s">
        <v>4698</v>
      </c>
      <c r="E227" s="2" t="s">
        <v>4722</v>
      </c>
      <c r="F227" s="62"/>
      <c r="G227" s="26" t="s">
        <v>341</v>
      </c>
    </row>
    <row r="228" spans="2:7" ht="72.5" outlineLevel="1" x14ac:dyDescent="0.35">
      <c r="B228" s="77"/>
      <c r="C228" s="77"/>
      <c r="D228" s="2" t="s">
        <v>4699</v>
      </c>
      <c r="E228" s="2" t="s">
        <v>1580</v>
      </c>
      <c r="F228" s="62"/>
      <c r="G228" s="26" t="s">
        <v>341</v>
      </c>
    </row>
    <row r="229" spans="2:7" ht="72.5" outlineLevel="1" x14ac:dyDescent="0.35">
      <c r="B229" s="77"/>
      <c r="C229" s="77"/>
      <c r="D229" s="2" t="s">
        <v>4700</v>
      </c>
      <c r="E229" s="2" t="s">
        <v>4723</v>
      </c>
      <c r="F229" s="62"/>
      <c r="G229" s="26" t="s">
        <v>341</v>
      </c>
    </row>
    <row r="230" spans="2:7" ht="116" outlineLevel="1" x14ac:dyDescent="0.35">
      <c r="B230" s="77"/>
      <c r="C230" s="77"/>
      <c r="D230" s="2" t="s">
        <v>4701</v>
      </c>
      <c r="E230" s="2" t="s">
        <v>4724</v>
      </c>
      <c r="F230" s="62"/>
      <c r="G230" s="26" t="s">
        <v>341</v>
      </c>
    </row>
    <row r="231" spans="2:7" ht="101.5" outlineLevel="1" x14ac:dyDescent="0.35">
      <c r="B231" s="77"/>
      <c r="C231" s="77"/>
      <c r="D231" s="2" t="s">
        <v>4702</v>
      </c>
      <c r="E231" s="2" t="s">
        <v>4725</v>
      </c>
      <c r="F231" s="62"/>
      <c r="G231" s="26" t="s">
        <v>341</v>
      </c>
    </row>
    <row r="232" spans="2:7" ht="72.5" outlineLevel="1" x14ac:dyDescent="0.35">
      <c r="B232" s="77"/>
      <c r="C232" s="77"/>
      <c r="D232" s="2" t="s">
        <v>4703</v>
      </c>
      <c r="E232" s="2" t="s">
        <v>4931</v>
      </c>
      <c r="F232" s="62"/>
      <c r="G232" s="26" t="s">
        <v>341</v>
      </c>
    </row>
    <row r="233" spans="2:7" ht="72.5" outlineLevel="1" x14ac:dyDescent="0.35">
      <c r="B233" s="77"/>
      <c r="C233" s="77"/>
      <c r="D233" s="2" t="s">
        <v>4704</v>
      </c>
      <c r="E233" s="2" t="s">
        <v>4726</v>
      </c>
      <c r="F233" s="62"/>
      <c r="G233" s="26" t="s">
        <v>341</v>
      </c>
    </row>
    <row r="234" spans="2:7" ht="58" outlineLevel="1" x14ac:dyDescent="0.35">
      <c r="B234" s="77"/>
      <c r="C234" s="77"/>
      <c r="D234" s="2" t="s">
        <v>4706</v>
      </c>
      <c r="E234" s="2" t="s">
        <v>4728</v>
      </c>
      <c r="F234" s="62"/>
      <c r="G234" s="26" t="s">
        <v>341</v>
      </c>
    </row>
    <row r="235" spans="2:7" ht="43.5" outlineLevel="1" x14ac:dyDescent="0.35">
      <c r="B235" s="77"/>
      <c r="C235" s="77"/>
      <c r="D235" s="2" t="s">
        <v>4707</v>
      </c>
      <c r="E235" s="2" t="s">
        <v>358</v>
      </c>
      <c r="F235" s="62"/>
      <c r="G235" s="26" t="s">
        <v>341</v>
      </c>
    </row>
    <row r="236" spans="2:7" ht="58" outlineLevel="1" x14ac:dyDescent="0.35">
      <c r="B236" s="77"/>
      <c r="C236" s="77"/>
      <c r="D236" s="2" t="s">
        <v>4708</v>
      </c>
      <c r="E236" s="2" t="s">
        <v>3390</v>
      </c>
      <c r="F236" s="62"/>
      <c r="G236" s="26" t="s">
        <v>341</v>
      </c>
    </row>
    <row r="237" spans="2:7" ht="43.5" outlineLevel="1" x14ac:dyDescent="0.35">
      <c r="B237" s="77"/>
      <c r="C237" s="77"/>
      <c r="D237" s="2" t="s">
        <v>4709</v>
      </c>
      <c r="E237" s="2" t="s">
        <v>585</v>
      </c>
      <c r="F237" s="62"/>
      <c r="G237" s="26" t="s">
        <v>341</v>
      </c>
    </row>
    <row r="238" spans="2:7" ht="58" outlineLevel="1" x14ac:dyDescent="0.35">
      <c r="B238" s="77"/>
      <c r="C238" s="77"/>
      <c r="D238" s="2" t="s">
        <v>4710</v>
      </c>
      <c r="E238" s="2" t="s">
        <v>1464</v>
      </c>
      <c r="F238" s="62"/>
      <c r="G238" s="26" t="s">
        <v>341</v>
      </c>
    </row>
    <row r="239" spans="2:7" ht="43.5" outlineLevel="1" x14ac:dyDescent="0.35">
      <c r="B239" s="77"/>
      <c r="C239" s="77"/>
      <c r="D239" s="2" t="s">
        <v>4711</v>
      </c>
      <c r="E239" s="2" t="s">
        <v>747</v>
      </c>
      <c r="F239" s="62"/>
      <c r="G239" s="26" t="s">
        <v>341</v>
      </c>
    </row>
    <row r="240" spans="2:7" ht="72.5" outlineLevel="1" x14ac:dyDescent="0.35">
      <c r="B240" s="77"/>
      <c r="C240" s="77"/>
      <c r="D240" s="2" t="s">
        <v>4712</v>
      </c>
      <c r="E240" s="2" t="s">
        <v>1980</v>
      </c>
      <c r="F240" s="62"/>
      <c r="G240" s="26" t="s">
        <v>341</v>
      </c>
    </row>
    <row r="241" spans="2:7" ht="29" outlineLevel="1" x14ac:dyDescent="0.35">
      <c r="B241" s="77"/>
      <c r="C241" s="77"/>
      <c r="D241" s="2" t="s">
        <v>4713</v>
      </c>
      <c r="E241" s="2" t="s">
        <v>1266</v>
      </c>
      <c r="F241" s="62"/>
      <c r="G241" s="26" t="s">
        <v>341</v>
      </c>
    </row>
    <row r="242" spans="2:7" ht="43.5" outlineLevel="1" x14ac:dyDescent="0.35">
      <c r="B242" s="77"/>
      <c r="C242" s="77"/>
      <c r="D242" s="2" t="s">
        <v>4907</v>
      </c>
      <c r="E242" s="2" t="s">
        <v>4729</v>
      </c>
      <c r="F242" s="62"/>
      <c r="G242" s="26" t="s">
        <v>341</v>
      </c>
    </row>
    <row r="243" spans="2:7" ht="43.5" outlineLevel="1" x14ac:dyDescent="0.35">
      <c r="B243" s="77"/>
      <c r="C243" s="77"/>
      <c r="D243" s="2" t="s">
        <v>4714</v>
      </c>
      <c r="E243" s="2" t="s">
        <v>82</v>
      </c>
      <c r="F243" s="62"/>
      <c r="G243" s="26" t="s">
        <v>341</v>
      </c>
    </row>
    <row r="244" spans="2:7" ht="43.5" outlineLevel="1" x14ac:dyDescent="0.35">
      <c r="B244" s="77"/>
      <c r="C244" s="77"/>
      <c r="D244" s="2" t="s">
        <v>4715</v>
      </c>
      <c r="E244" s="2" t="s">
        <v>848</v>
      </c>
      <c r="F244" s="62"/>
      <c r="G244" s="26" t="s">
        <v>341</v>
      </c>
    </row>
    <row r="245" spans="2:7" ht="58" outlineLevel="1" x14ac:dyDescent="0.35">
      <c r="B245" s="77"/>
      <c r="C245" s="77"/>
      <c r="D245" s="2" t="s">
        <v>4716</v>
      </c>
      <c r="E245" s="2" t="s">
        <v>4730</v>
      </c>
      <c r="F245" s="62"/>
      <c r="G245" s="26" t="s">
        <v>341</v>
      </c>
    </row>
    <row r="246" spans="2:7" ht="29" outlineLevel="1" x14ac:dyDescent="0.35">
      <c r="B246" s="77"/>
      <c r="C246" s="77"/>
      <c r="D246" s="2" t="s">
        <v>4717</v>
      </c>
      <c r="E246" s="2" t="s">
        <v>740</v>
      </c>
      <c r="F246" s="62"/>
      <c r="G246" s="26" t="s">
        <v>341</v>
      </c>
    </row>
    <row r="247" spans="2:7" ht="87" outlineLevel="1" x14ac:dyDescent="0.35">
      <c r="B247" s="77"/>
      <c r="C247" s="77"/>
      <c r="D247" s="2" t="s">
        <v>4718</v>
      </c>
      <c r="E247" s="2" t="s">
        <v>4731</v>
      </c>
      <c r="F247" s="62"/>
      <c r="G247" s="26" t="s">
        <v>341</v>
      </c>
    </row>
    <row r="248" spans="2:7" ht="58" outlineLevel="1" x14ac:dyDescent="0.35">
      <c r="B248" s="77"/>
      <c r="C248" s="77"/>
      <c r="D248" s="2" t="s">
        <v>5041</v>
      </c>
      <c r="E248" s="2" t="s">
        <v>5042</v>
      </c>
      <c r="F248" s="62"/>
      <c r="G248" s="26" t="s">
        <v>341</v>
      </c>
    </row>
    <row r="249" spans="2:7" ht="58" outlineLevel="1" x14ac:dyDescent="0.35">
      <c r="B249" s="77"/>
      <c r="C249" s="77"/>
      <c r="D249" s="2" t="s">
        <v>5032</v>
      </c>
      <c r="E249" s="2" t="s">
        <v>4689</v>
      </c>
      <c r="F249" s="62"/>
      <c r="G249" s="26" t="s">
        <v>341</v>
      </c>
    </row>
    <row r="250" spans="2:7" x14ac:dyDescent="0.35">
      <c r="B250" s="77"/>
      <c r="C250" s="77"/>
      <c r="D250" s="81" t="s">
        <v>5037</v>
      </c>
      <c r="E250" s="2"/>
      <c r="F250" s="62"/>
      <c r="G250" s="78"/>
    </row>
    <row r="251" spans="2:7" ht="116" outlineLevel="1" x14ac:dyDescent="0.35">
      <c r="B251" s="77"/>
      <c r="C251" s="77"/>
      <c r="D251" s="2" t="s">
        <v>5101</v>
      </c>
      <c r="E251" s="2" t="s">
        <v>4925</v>
      </c>
      <c r="F251" s="62"/>
      <c r="G251" s="26" t="s">
        <v>341</v>
      </c>
    </row>
    <row r="252" spans="2:7" ht="72.5" outlineLevel="1" x14ac:dyDescent="0.35">
      <c r="B252" s="77"/>
      <c r="C252" s="77"/>
      <c r="D252" s="2" t="s">
        <v>5033</v>
      </c>
      <c r="E252" s="2" t="s">
        <v>2670</v>
      </c>
      <c r="F252" s="62"/>
      <c r="G252" s="26" t="s">
        <v>341</v>
      </c>
    </row>
    <row r="253" spans="2:7" ht="58" outlineLevel="1" x14ac:dyDescent="0.35">
      <c r="B253" s="77"/>
      <c r="C253" s="77"/>
      <c r="D253" s="2" t="s">
        <v>5034</v>
      </c>
      <c r="E253" s="2" t="s">
        <v>1865</v>
      </c>
      <c r="F253" s="62"/>
      <c r="G253" s="26" t="s">
        <v>341</v>
      </c>
    </row>
    <row r="254" spans="2:7" ht="43.5" outlineLevel="1" x14ac:dyDescent="0.35">
      <c r="B254" s="77"/>
      <c r="C254" s="77"/>
      <c r="D254" s="2" t="s">
        <v>5035</v>
      </c>
      <c r="E254" s="2" t="s">
        <v>4719</v>
      </c>
      <c r="F254" s="62"/>
      <c r="G254" s="26" t="s">
        <v>341</v>
      </c>
    </row>
    <row r="255" spans="2:7" ht="43.5" outlineLevel="1" x14ac:dyDescent="0.35">
      <c r="B255" s="77"/>
      <c r="C255" s="77"/>
      <c r="D255" s="2" t="s">
        <v>5043</v>
      </c>
      <c r="E255" s="2" t="s">
        <v>743</v>
      </c>
      <c r="F255" s="62"/>
      <c r="G255" s="26" t="s">
        <v>341</v>
      </c>
    </row>
    <row r="256" spans="2:7" ht="72.5" outlineLevel="1" x14ac:dyDescent="0.35">
      <c r="B256" s="77"/>
      <c r="C256" s="77"/>
      <c r="D256" s="2" t="s">
        <v>5044</v>
      </c>
      <c r="E256" s="2" t="s">
        <v>4720</v>
      </c>
      <c r="F256" s="62"/>
      <c r="G256" s="26" t="s">
        <v>341</v>
      </c>
    </row>
    <row r="257" spans="2:7" ht="58" outlineLevel="1" x14ac:dyDescent="0.35">
      <c r="B257" s="77"/>
      <c r="C257" s="77"/>
      <c r="D257" s="2" t="s">
        <v>5045</v>
      </c>
      <c r="E257" s="2" t="s">
        <v>4721</v>
      </c>
      <c r="F257" s="62"/>
      <c r="G257" s="26" t="s">
        <v>341</v>
      </c>
    </row>
    <row r="258" spans="2:7" ht="101.5" outlineLevel="1" x14ac:dyDescent="0.35">
      <c r="B258" s="77"/>
      <c r="C258" s="77"/>
      <c r="D258" s="2" t="s">
        <v>5046</v>
      </c>
      <c r="E258" s="2" t="s">
        <v>4725</v>
      </c>
      <c r="F258" s="62"/>
      <c r="G258" s="26" t="s">
        <v>341</v>
      </c>
    </row>
    <row r="259" spans="2:7" ht="72.5" outlineLevel="1" x14ac:dyDescent="0.35">
      <c r="B259" s="77"/>
      <c r="C259" s="77"/>
      <c r="D259" s="2" t="s">
        <v>5047</v>
      </c>
      <c r="E259" s="2" t="s">
        <v>4931</v>
      </c>
      <c r="F259" s="62"/>
      <c r="G259" s="26" t="s">
        <v>341</v>
      </c>
    </row>
    <row r="260" spans="2:7" ht="72.5" outlineLevel="1" x14ac:dyDescent="0.35">
      <c r="B260" s="77"/>
      <c r="C260" s="77"/>
      <c r="D260" s="2" t="s">
        <v>5048</v>
      </c>
      <c r="E260" s="2" t="s">
        <v>4726</v>
      </c>
      <c r="F260" s="62"/>
      <c r="G260" s="26" t="s">
        <v>341</v>
      </c>
    </row>
    <row r="261" spans="2:7" ht="58" outlineLevel="1" x14ac:dyDescent="0.35">
      <c r="B261" s="77"/>
      <c r="C261" s="77"/>
      <c r="D261" s="2" t="s">
        <v>5049</v>
      </c>
      <c r="E261" s="2" t="s">
        <v>4728</v>
      </c>
      <c r="F261" s="62"/>
      <c r="G261" s="26" t="s">
        <v>341</v>
      </c>
    </row>
    <row r="262" spans="2:7" ht="43.5" outlineLevel="1" x14ac:dyDescent="0.35">
      <c r="B262" s="77"/>
      <c r="C262" s="77"/>
      <c r="D262" s="2" t="s">
        <v>5050</v>
      </c>
      <c r="E262" s="2" t="s">
        <v>358</v>
      </c>
      <c r="F262" s="62"/>
      <c r="G262" s="26" t="s">
        <v>341</v>
      </c>
    </row>
    <row r="263" spans="2:7" ht="58" outlineLevel="1" x14ac:dyDescent="0.35">
      <c r="B263" s="77"/>
      <c r="C263" s="77"/>
      <c r="D263" s="2" t="s">
        <v>5051</v>
      </c>
      <c r="E263" s="2" t="s">
        <v>3390</v>
      </c>
      <c r="F263" s="62"/>
      <c r="G263" s="26" t="s">
        <v>341</v>
      </c>
    </row>
    <row r="264" spans="2:7" ht="58" outlineLevel="1" x14ac:dyDescent="0.35">
      <c r="B264" s="77"/>
      <c r="C264" s="77"/>
      <c r="D264" s="2" t="s">
        <v>5052</v>
      </c>
      <c r="E264" s="2" t="s">
        <v>5042</v>
      </c>
      <c r="F264" s="62"/>
      <c r="G264" s="26" t="s">
        <v>341</v>
      </c>
    </row>
    <row r="265" spans="2:7" ht="58" outlineLevel="1" x14ac:dyDescent="0.35">
      <c r="B265" s="77"/>
      <c r="C265" s="77"/>
      <c r="D265" s="2" t="s">
        <v>5053</v>
      </c>
      <c r="E265" s="2" t="s">
        <v>1464</v>
      </c>
      <c r="F265" s="62"/>
      <c r="G265" s="26" t="s">
        <v>341</v>
      </c>
    </row>
    <row r="266" spans="2:7" ht="43.5" outlineLevel="1" x14ac:dyDescent="0.35">
      <c r="B266" s="77"/>
      <c r="C266" s="77"/>
      <c r="D266" s="2" t="s">
        <v>5054</v>
      </c>
      <c r="E266" s="2" t="s">
        <v>747</v>
      </c>
      <c r="F266" s="62"/>
      <c r="G266" s="26" t="s">
        <v>341</v>
      </c>
    </row>
    <row r="267" spans="2:7" ht="72.5" outlineLevel="1" x14ac:dyDescent="0.35">
      <c r="B267" s="77"/>
      <c r="C267" s="77"/>
      <c r="D267" s="2" t="s">
        <v>5055</v>
      </c>
      <c r="E267" s="2" t="s">
        <v>1980</v>
      </c>
      <c r="F267" s="62"/>
      <c r="G267" s="26" t="s">
        <v>341</v>
      </c>
    </row>
    <row r="268" spans="2:7" ht="29" outlineLevel="1" x14ac:dyDescent="0.35">
      <c r="B268" s="77"/>
      <c r="C268" s="77"/>
      <c r="D268" s="2" t="s">
        <v>5056</v>
      </c>
      <c r="E268" s="2" t="s">
        <v>1266</v>
      </c>
      <c r="F268" s="62"/>
      <c r="G268" s="26" t="s">
        <v>341</v>
      </c>
    </row>
    <row r="269" spans="2:7" ht="43.5" outlineLevel="1" x14ac:dyDescent="0.35">
      <c r="B269" s="77"/>
      <c r="C269" s="77"/>
      <c r="D269" s="2" t="s">
        <v>5057</v>
      </c>
      <c r="E269" s="2" t="s">
        <v>4729</v>
      </c>
      <c r="F269" s="62"/>
      <c r="G269" s="26" t="s">
        <v>341</v>
      </c>
    </row>
    <row r="270" spans="2:7" ht="43.5" outlineLevel="1" x14ac:dyDescent="0.35">
      <c r="B270" s="77"/>
      <c r="C270" s="77"/>
      <c r="D270" s="2" t="s">
        <v>5058</v>
      </c>
      <c r="E270" s="2" t="s">
        <v>82</v>
      </c>
      <c r="F270" s="62"/>
      <c r="G270" s="26" t="s">
        <v>341</v>
      </c>
    </row>
    <row r="271" spans="2:7" ht="43.5" outlineLevel="1" x14ac:dyDescent="0.35">
      <c r="B271" s="77"/>
      <c r="C271" s="77"/>
      <c r="D271" s="2" t="s">
        <v>5059</v>
      </c>
      <c r="E271" s="2" t="s">
        <v>848</v>
      </c>
      <c r="F271" s="62"/>
      <c r="G271" s="26" t="s">
        <v>341</v>
      </c>
    </row>
    <row r="272" spans="2:7" ht="29" outlineLevel="1" x14ac:dyDescent="0.35">
      <c r="B272" s="77"/>
      <c r="C272" s="77"/>
      <c r="D272" s="2" t="s">
        <v>5060</v>
      </c>
      <c r="E272" s="2" t="s">
        <v>740</v>
      </c>
      <c r="F272" s="62"/>
      <c r="G272" s="26" t="s">
        <v>341</v>
      </c>
    </row>
    <row r="273" spans="2:7" ht="87" outlineLevel="1" x14ac:dyDescent="0.35">
      <c r="B273" s="77"/>
      <c r="C273" s="77"/>
      <c r="D273" s="2" t="s">
        <v>5061</v>
      </c>
      <c r="E273" s="2" t="s">
        <v>4731</v>
      </c>
      <c r="F273" s="62"/>
      <c r="G273" s="26" t="s">
        <v>341</v>
      </c>
    </row>
    <row r="274" spans="2:7" ht="58" outlineLevel="1" x14ac:dyDescent="0.35">
      <c r="B274" s="77"/>
      <c r="C274" s="77"/>
      <c r="D274" s="2" t="s">
        <v>5032</v>
      </c>
      <c r="E274" s="2" t="s">
        <v>4689</v>
      </c>
      <c r="F274" s="62"/>
      <c r="G274" s="26" t="s">
        <v>341</v>
      </c>
    </row>
    <row r="275" spans="2:7" ht="72.5" outlineLevel="1" x14ac:dyDescent="0.35">
      <c r="B275" s="77"/>
      <c r="C275" s="77"/>
      <c r="D275" s="2" t="s">
        <v>5036</v>
      </c>
      <c r="E275" s="2" t="s">
        <v>2555</v>
      </c>
      <c r="F275" s="62"/>
      <c r="G275" s="26" t="s">
        <v>341</v>
      </c>
    </row>
    <row r="276" spans="2:7" ht="58" outlineLevel="1" x14ac:dyDescent="0.35">
      <c r="B276" s="77"/>
      <c r="C276" s="77"/>
      <c r="D276" s="2" t="s">
        <v>4705</v>
      </c>
      <c r="E276" s="2" t="s">
        <v>4727</v>
      </c>
      <c r="F276" s="62"/>
      <c r="G276" s="26" t="s">
        <v>341</v>
      </c>
    </row>
    <row r="277" spans="2:7" ht="72.5" outlineLevel="1" x14ac:dyDescent="0.35">
      <c r="B277" s="77"/>
      <c r="C277" s="77"/>
      <c r="D277" s="2" t="s">
        <v>5038</v>
      </c>
      <c r="E277" s="2" t="s">
        <v>2959</v>
      </c>
      <c r="F277" s="62"/>
      <c r="G277" s="26" t="s">
        <v>341</v>
      </c>
    </row>
    <row r="278" spans="2:7" ht="72.5" outlineLevel="1" x14ac:dyDescent="0.35">
      <c r="B278" s="77"/>
      <c r="C278" s="77"/>
      <c r="D278" s="2" t="s">
        <v>5039</v>
      </c>
      <c r="E278" s="2" t="s">
        <v>5040</v>
      </c>
      <c r="F278" s="62"/>
      <c r="G278" s="26" t="s">
        <v>341</v>
      </c>
    </row>
    <row r="279" spans="2:7" ht="29" x14ac:dyDescent="0.35">
      <c r="B279" s="77"/>
      <c r="C279" s="77"/>
      <c r="D279" s="75" t="s">
        <v>5030</v>
      </c>
      <c r="E279" s="2"/>
      <c r="G279" s="78"/>
    </row>
    <row r="280" spans="2:7" ht="58" outlineLevel="1" x14ac:dyDescent="0.35">
      <c r="B280" s="77"/>
      <c r="C280" s="77"/>
      <c r="D280" s="2" t="s">
        <v>4854</v>
      </c>
      <c r="E280" s="2" t="s">
        <v>3931</v>
      </c>
      <c r="F280" s="62"/>
      <c r="G280" s="26" t="s">
        <v>341</v>
      </c>
    </row>
    <row r="281" spans="2:7" ht="43.5" outlineLevel="1" x14ac:dyDescent="0.35">
      <c r="B281" s="77"/>
      <c r="C281" s="77"/>
      <c r="D281" s="2" t="s">
        <v>4855</v>
      </c>
      <c r="E281" s="2" t="s">
        <v>4860</v>
      </c>
      <c r="F281" s="62"/>
      <c r="G281" s="26" t="s">
        <v>341</v>
      </c>
    </row>
    <row r="282" spans="2:7" ht="58" outlineLevel="1" x14ac:dyDescent="0.35">
      <c r="B282" s="77"/>
      <c r="C282" s="77"/>
      <c r="D282" s="2" t="s">
        <v>4856</v>
      </c>
      <c r="E282" s="2" t="s">
        <v>4861</v>
      </c>
      <c r="F282" s="62"/>
      <c r="G282" s="26" t="s">
        <v>341</v>
      </c>
    </row>
    <row r="283" spans="2:7" ht="87" outlineLevel="1" x14ac:dyDescent="0.35">
      <c r="B283" s="77"/>
      <c r="C283" s="77"/>
      <c r="D283" s="2" t="s">
        <v>4905</v>
      </c>
      <c r="E283" s="2" t="s">
        <v>4906</v>
      </c>
      <c r="F283" s="62"/>
      <c r="G283" s="26" t="s">
        <v>341</v>
      </c>
    </row>
    <row r="284" spans="2:7" ht="87" outlineLevel="1" x14ac:dyDescent="0.35">
      <c r="B284" s="77"/>
      <c r="C284" s="77"/>
      <c r="D284" s="2" t="s">
        <v>4857</v>
      </c>
      <c r="E284" s="2" t="s">
        <v>4862</v>
      </c>
      <c r="F284" s="62"/>
      <c r="G284" s="26" t="s">
        <v>341</v>
      </c>
    </row>
    <row r="285" spans="2:7" ht="58" outlineLevel="1" x14ac:dyDescent="0.35">
      <c r="B285" s="77"/>
      <c r="C285" s="77"/>
      <c r="D285" s="2" t="s">
        <v>4858</v>
      </c>
      <c r="E285" s="2" t="s">
        <v>2962</v>
      </c>
      <c r="F285" s="62"/>
      <c r="G285" s="26" t="s">
        <v>341</v>
      </c>
    </row>
    <row r="286" spans="2:7" ht="58" outlineLevel="1" x14ac:dyDescent="0.35">
      <c r="B286" s="77"/>
      <c r="C286" s="77"/>
      <c r="D286" s="2" t="s">
        <v>4859</v>
      </c>
      <c r="E286" s="2" t="s">
        <v>4051</v>
      </c>
      <c r="F286" s="62"/>
      <c r="G286" s="26" t="s">
        <v>341</v>
      </c>
    </row>
    <row r="287" spans="2:7" x14ac:dyDescent="0.35">
      <c r="B287" s="77"/>
      <c r="C287" s="77"/>
      <c r="D287" s="75" t="s">
        <v>5031</v>
      </c>
      <c r="E287" s="2"/>
      <c r="G287" s="78"/>
    </row>
    <row r="288" spans="2:7" ht="43.5" outlineLevel="1" x14ac:dyDescent="0.35">
      <c r="B288" s="77"/>
      <c r="C288" s="77"/>
      <c r="D288" s="2" t="s">
        <v>4863</v>
      </c>
      <c r="E288" s="2" t="s">
        <v>4876</v>
      </c>
      <c r="F288" s="62"/>
      <c r="G288" s="26" t="s">
        <v>341</v>
      </c>
    </row>
    <row r="289" spans="2:7" ht="58" outlineLevel="1" x14ac:dyDescent="0.35">
      <c r="B289" s="77"/>
      <c r="C289" s="77"/>
      <c r="D289" s="2" t="s">
        <v>4864</v>
      </c>
      <c r="E289" s="2" t="s">
        <v>4877</v>
      </c>
      <c r="F289" s="62"/>
      <c r="G289" s="26" t="s">
        <v>341</v>
      </c>
    </row>
    <row r="290" spans="2:7" ht="43.5" outlineLevel="1" x14ac:dyDescent="0.35">
      <c r="B290" s="77"/>
      <c r="C290" s="77"/>
      <c r="D290" s="2" t="s">
        <v>4865</v>
      </c>
      <c r="E290" s="2" t="s">
        <v>4878</v>
      </c>
      <c r="F290" s="62"/>
      <c r="G290" s="26" t="s">
        <v>341</v>
      </c>
    </row>
    <row r="291" spans="2:7" ht="87" outlineLevel="1" x14ac:dyDescent="0.35">
      <c r="B291" s="77"/>
      <c r="C291" s="77"/>
      <c r="D291" s="2" t="s">
        <v>4866</v>
      </c>
      <c r="E291" s="2" t="s">
        <v>4879</v>
      </c>
      <c r="F291" s="62"/>
      <c r="G291" s="26" t="s">
        <v>341</v>
      </c>
    </row>
    <row r="292" spans="2:7" ht="87" outlineLevel="1" x14ac:dyDescent="0.35">
      <c r="B292" s="77"/>
      <c r="C292" s="77"/>
      <c r="D292" s="2" t="s">
        <v>4867</v>
      </c>
      <c r="E292" s="2" t="s">
        <v>4880</v>
      </c>
      <c r="F292" s="62"/>
      <c r="G292" s="26" t="s">
        <v>341</v>
      </c>
    </row>
    <row r="293" spans="2:7" ht="72.5" outlineLevel="1" x14ac:dyDescent="0.35">
      <c r="B293" s="77"/>
      <c r="C293" s="77"/>
      <c r="D293" s="2" t="s">
        <v>4868</v>
      </c>
      <c r="E293" s="2" t="s">
        <v>4881</v>
      </c>
      <c r="F293" s="62"/>
      <c r="G293" s="26" t="s">
        <v>341</v>
      </c>
    </row>
    <row r="294" spans="2:7" ht="43.5" outlineLevel="1" x14ac:dyDescent="0.35">
      <c r="B294" s="77"/>
      <c r="C294" s="77"/>
      <c r="D294" s="2" t="s">
        <v>4869</v>
      </c>
      <c r="E294" s="2" t="s">
        <v>4882</v>
      </c>
      <c r="F294" s="62"/>
      <c r="G294" s="26" t="s">
        <v>341</v>
      </c>
    </row>
    <row r="295" spans="2:7" ht="58" outlineLevel="1" x14ac:dyDescent="0.35">
      <c r="B295" s="77"/>
      <c r="C295" s="77"/>
      <c r="D295" s="2" t="s">
        <v>4870</v>
      </c>
      <c r="E295" s="2" t="s">
        <v>4883</v>
      </c>
      <c r="F295" s="62"/>
      <c r="G295" s="26" t="s">
        <v>341</v>
      </c>
    </row>
    <row r="296" spans="2:7" ht="72.5" outlineLevel="1" x14ac:dyDescent="0.35">
      <c r="B296" s="77"/>
      <c r="C296" s="77"/>
      <c r="D296" s="2" t="s">
        <v>5198</v>
      </c>
      <c r="E296" s="2" t="s">
        <v>5199</v>
      </c>
      <c r="F296" s="62"/>
      <c r="G296" s="26" t="s">
        <v>341</v>
      </c>
    </row>
    <row r="297" spans="2:7" ht="72.5" outlineLevel="1" x14ac:dyDescent="0.35">
      <c r="B297" s="77"/>
      <c r="C297" s="77"/>
      <c r="D297" s="2" t="s">
        <v>4871</v>
      </c>
      <c r="E297" s="2" t="s">
        <v>2312</v>
      </c>
      <c r="F297" s="62"/>
      <c r="G297" s="26" t="s">
        <v>341</v>
      </c>
    </row>
    <row r="298" spans="2:7" ht="58" outlineLevel="1" x14ac:dyDescent="0.35">
      <c r="B298" s="77"/>
      <c r="C298" s="77"/>
      <c r="D298" s="2" t="s">
        <v>4872</v>
      </c>
      <c r="E298" s="2" t="s">
        <v>4884</v>
      </c>
      <c r="F298" s="62"/>
      <c r="G298" s="26" t="s">
        <v>341</v>
      </c>
    </row>
    <row r="299" spans="2:7" ht="72.5" outlineLevel="1" x14ac:dyDescent="0.35">
      <c r="B299" s="77"/>
      <c r="C299" s="77"/>
      <c r="D299" s="2" t="s">
        <v>4873</v>
      </c>
      <c r="E299" s="2" t="s">
        <v>4885</v>
      </c>
      <c r="F299" s="62"/>
      <c r="G299" s="26" t="s">
        <v>341</v>
      </c>
    </row>
    <row r="300" spans="2:7" ht="43.5" outlineLevel="1" x14ac:dyDescent="0.35">
      <c r="B300" s="77"/>
      <c r="C300" s="77"/>
      <c r="D300" s="2" t="s">
        <v>4874</v>
      </c>
      <c r="E300" s="2" t="s">
        <v>4886</v>
      </c>
      <c r="F300" s="62"/>
      <c r="G300" s="26" t="s">
        <v>341</v>
      </c>
    </row>
    <row r="301" spans="2:7" ht="29" outlineLevel="1" x14ac:dyDescent="0.35">
      <c r="B301" s="77"/>
      <c r="C301" s="77"/>
      <c r="D301" s="2" t="s">
        <v>4875</v>
      </c>
      <c r="E301" s="2" t="s">
        <v>2315</v>
      </c>
      <c r="F301" s="62"/>
      <c r="G301" s="26" t="s">
        <v>341</v>
      </c>
    </row>
  </sheetData>
  <autoFilter ref="D1:D302" xr:uid="{D00AB805-2882-46E4-B1BC-676E56F278F6}"/>
  <mergeCells count="2">
    <mergeCell ref="G3:G4"/>
    <mergeCell ref="B6:D6"/>
  </mergeCells>
  <dataValidations count="1">
    <dataValidation type="list" allowBlank="1" showInputMessage="1" showErrorMessage="1" sqref="G11:G21 G251:G278 G23:G66 G68:G77 G79:G90 G280:G301 G92:G96 G220:G249 G98:G116 G118:G129 G131:G141 G143:G157 G159:G199 G201:G209 G211:G217" xr:uid="{9E9A3656-EDBD-4075-9C37-8151CEF208BA}">
      <formula1>"Yes, No"</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D9949C7BF377E4B81CB1EF70E9A8EAB" ma:contentTypeVersion="9" ma:contentTypeDescription="Create a new document." ma:contentTypeScope="" ma:versionID="331ab15c6acfacbcbe836d6dfa9727ac">
  <xsd:schema xmlns:xsd="http://www.w3.org/2001/XMLSchema" xmlns:xs="http://www.w3.org/2001/XMLSchema" xmlns:p="http://schemas.microsoft.com/office/2006/metadata/properties" xmlns:ns2="d70d76fd-4dbd-434d-8e68-c324f0937a49" targetNamespace="http://schemas.microsoft.com/office/2006/metadata/properties" ma:root="true" ma:fieldsID="eba5c22223d2b3a6c79a97a1007dd5f9" ns2:_="">
    <xsd:import namespace="d70d76fd-4dbd-434d-8e68-c324f0937a49"/>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0d76fd-4dbd-434d-8e68-c324f0937a49"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documentManagement>
    <_dlc_DocId xmlns="d70d76fd-4dbd-434d-8e68-c324f0937a49">QWDXRC5FNSED-1072-2244</_dlc_DocId>
    <_dlc_DocIdUrl xmlns="d70d76fd-4dbd-434d-8e68-c324f0937a49">
      <Url>http://uni-t.temenos.com/teams/MB/MBRELEASE/_layouts/15/DocIdRedir.aspx?ID=QWDXRC5FNSED-1072-2244</Url>
      <Description>QWDXRC5FNSED-1072-2244</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5.xml><?xml version="1.0" encoding="utf-8"?>
<?mso-contentType ?>
<SharedContentType xmlns="Microsoft.SharePoint.Taxonomy.ContentTypeSync" SourceId="7f04aa95-e6d4-4632-82cd-9935a5034d27" ContentTypeId="0x01" PreviousValue="false"/>
</file>

<file path=customXml/itemProps1.xml><?xml version="1.0" encoding="utf-8"?>
<ds:datastoreItem xmlns:ds="http://schemas.openxmlformats.org/officeDocument/2006/customXml" ds:itemID="{ED837275-CD84-44E0-9DFE-C078D87DF92E}">
  <ds:schemaRefs>
    <ds:schemaRef ds:uri="http://schemas.microsoft.com/sharepoint/v3/contenttype/forms"/>
  </ds:schemaRefs>
</ds:datastoreItem>
</file>

<file path=customXml/itemProps2.xml><?xml version="1.0" encoding="utf-8"?>
<ds:datastoreItem xmlns:ds="http://schemas.openxmlformats.org/officeDocument/2006/customXml" ds:itemID="{528A358A-0BA9-4090-9523-AFD664ABAD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0d76fd-4dbd-434d-8e68-c324f0937a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E8859D7-CC5D-4114-9517-7069ACF3B0DA}">
  <ds:schemaRefs>
    <ds:schemaRef ds:uri="http://www.w3.org/XML/1998/namespace"/>
    <ds:schemaRef ds:uri="http://schemas.microsoft.com/office/2006/metadata/properties"/>
    <ds:schemaRef ds:uri="http://purl.org/dc/dcmitype/"/>
    <ds:schemaRef ds:uri="d70d76fd-4dbd-434d-8e68-c324f0937a49"/>
    <ds:schemaRef ds:uri="http://schemas.microsoft.com/office/2006/documentManagement/types"/>
    <ds:schemaRef ds:uri="http://purl.org/dc/elements/1.1/"/>
    <ds:schemaRef ds:uri="http://purl.org/dc/terms/"/>
    <ds:schemaRef ds:uri="http://schemas.microsoft.com/office/infopath/2007/PartnerControls"/>
    <ds:schemaRef ds:uri="http://schemas.openxmlformats.org/package/2006/metadata/core-properties"/>
  </ds:schemaRefs>
</ds:datastoreItem>
</file>

<file path=customXml/itemProps4.xml><?xml version="1.0" encoding="utf-8"?>
<ds:datastoreItem xmlns:ds="http://schemas.openxmlformats.org/officeDocument/2006/customXml" ds:itemID="{0B25D8CE-D86C-4302-B6F9-45D50F6E4D46}">
  <ds:schemaRefs>
    <ds:schemaRef ds:uri="http://schemas.microsoft.com/sharepoint/events"/>
  </ds:schemaRefs>
</ds:datastoreItem>
</file>

<file path=customXml/itemProps5.xml><?xml version="1.0" encoding="utf-8"?>
<ds:datastoreItem xmlns:ds="http://schemas.openxmlformats.org/officeDocument/2006/customXml" ds:itemID="{7C4AD087-0DDC-4E56-862B-FBCB6F4847C7}">
  <ds:schemaRefs>
    <ds:schemaRef ds:uri="Microsoft.SharePoint.Taxonomy.ContentTypeSync"/>
  </ds:schemaRefs>
</ds:datastoreItem>
</file>

<file path=docMetadata/LabelInfo.xml><?xml version="1.0" encoding="utf-8"?>
<clbl:labelList xmlns:clbl="http://schemas.microsoft.com/office/2020/mipLabelMetadata">
  <clbl:label id="{aeec8b56-cf92-4f4e-ae60-9935f5ad962f}" enabled="1" method="Standard" siteId="{d5d2540f-f60a-45ad-86a9-e2e792ee6669}"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Temenos</vt:lpstr>
      <vt:lpstr>Home</vt:lpstr>
      <vt:lpstr> (0) Customer Relationship Mgmt</vt:lpstr>
      <vt:lpstr>(1) Retail Banking Processes</vt:lpstr>
      <vt:lpstr>(2) Corporate Banking Processes</vt:lpstr>
      <vt:lpstr>(3) Transactional Processes</vt:lpstr>
      <vt:lpstr>(4) Treasury Processes</vt:lpstr>
      <vt:lpstr>(5) Private Wealth Management</vt:lpstr>
      <vt:lpstr>(6) Online Channels</vt:lpstr>
      <vt:lpstr>(7) Security Management (SMS)</vt:lpstr>
      <vt:lpstr>(8) Financial Accounting</vt:lpstr>
      <vt:lpstr>(9) Core Parameters</vt:lpstr>
      <vt:lpstr>(10) Islamic Banking</vt:lpstr>
      <vt:lpstr>(11) Regionalized Solution</vt:lpstr>
      <vt:lpstr>(12) Digital Engagement</vt:lpstr>
      <vt:lpstr>(13) Reporting and Compliance</vt:lpstr>
      <vt:lpstr>(14) Financial Crime Mitigation</vt:lpstr>
      <vt:lpstr>(15) Fund Accounting Processes</vt:lpstr>
      <vt:lpstr>(16) Digital Banking (Infinity)</vt:lpstr>
      <vt:lpstr>(17) Temenos Banking Solution</vt:lpstr>
      <vt:lpstr>(18) Business Banking Processes</vt:lpstr>
      <vt:lpstr>(19) Enterprise Services</vt:lpstr>
      <vt:lpstr>(20) Financial Risk (FRM)  </vt:lpstr>
      <vt:lpstr>(21) Platform Based Approach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TEMENOS Reference Processes Inventory R16</dc:title>
  <dc:creator>Temenos Product Management</dc:creator>
  <cp:lastModifiedBy>Prasanna Kumar S J</cp:lastModifiedBy>
  <cp:lastPrinted>2021-11-12T11:12:01Z</cp:lastPrinted>
  <dcterms:created xsi:type="dcterms:W3CDTF">2008-08-04T06:38:34Z</dcterms:created>
  <dcterms:modified xsi:type="dcterms:W3CDTF">2025-03-26T11:50:02Z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0x010100CD9949C7BF377E4B81CB1EF70E9A8EAB</vt:lpwstr>
  </property>
  <property fmtid="{D5CDD505-2E9C-101B-9397-08002B2CF9AE}" pid="3" name="_dlc_DocIdItemGuid">
    <vt:lpwstr>42c13230-95e3-4802-81a3-9f64180f7be2</vt:lpwstr>
  </property>
  <property fmtid="{D5CDD505-2E9C-101B-9397-08002B2CF9AE}" pid="4" name="Order">
    <vt:r8>2000</vt:r8>
  </property>
  <property fmtid="{D5CDD505-2E9C-101B-9397-08002B2CF9AE}" pid="5" name="xd_ProgID">
    <vt:lpwstr/>
  </property>
  <property fmtid="{D5CDD505-2E9C-101B-9397-08002B2CF9AE}" pid="6" name="TemplateUrl">
    <vt:lpwstr/>
  </property>
  <property fmtid="{D5CDD505-2E9C-101B-9397-08002B2CF9AE}" pid="7" name="T24 Release">
    <vt:lpwstr>2531;#R16|485c5065-53df-4d3b-9628-4399f0e7316e</vt:lpwstr>
  </property>
  <property fmtid="{D5CDD505-2E9C-101B-9397-08002B2CF9AE}" pid="8" name="Category">
    <vt:lpwstr>R13 Model Bank</vt:lpwstr>
  </property>
</Properties>
</file>