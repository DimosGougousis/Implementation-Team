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Workshop Scoring" sheetId="2" state="visible" r:id="rId2"/>
    <sheet xmlns:r="http://schemas.openxmlformats.org/officeDocument/2006/relationships" name="Customisation Scoring" sheetId="3" state="visible" r:id="rId3"/>
    <sheet xmlns:r="http://schemas.openxmlformats.org/officeDocument/2006/relationships" name="Parking 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6" customWidth="1" min="6" max="6"/>
    <col width="40" customWidth="1" min="7" max="7"/>
  </cols>
  <sheetData>
    <row r="1" ht="32" customHeight="1">
      <c r="A1" s="1" t="inlineStr">
        <is>
          <t>Req ID</t>
        </is>
      </c>
      <c r="B1" s="1" t="inlineStr">
        <is>
          <t>Process Area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MoSCoW</t>
        </is>
      </c>
      <c r="F1" s="1" t="inlineStr">
        <is>
          <t>Pre-Score</t>
        </is>
      </c>
      <c r="G1" s="1" t="inlineStr">
        <is>
          <t>Pre-Score Notes</t>
        </is>
      </c>
    </row>
    <row r="2">
      <c r="A2" s="2" t="inlineStr">
        <is>
          <t>REQ-001</t>
        </is>
      </c>
      <c r="B2" s="2" t="inlineStr">
        <is>
          <t>Customer Onboarding</t>
        </is>
      </c>
      <c r="C2" s="2" t="inlineStr">
        <is>
          <t>Digital KYC verification with biometric identity checks</t>
        </is>
      </c>
      <c r="D2" s="2" t="inlineStr">
        <is>
          <t>High</t>
        </is>
      </c>
      <c r="E2" s="2" t="inlineStr">
        <is>
          <t>Must</t>
        </is>
      </c>
      <c r="F2" s="2" t="inlineStr">
        <is>
          <t>Full Fit</t>
        </is>
      </c>
      <c r="G2" s="2" t="inlineStr">
        <is>
          <t>T24 Digital KYC module supports biometric verification natively</t>
        </is>
      </c>
    </row>
    <row r="3">
      <c r="A3" s="3" t="inlineStr">
        <is>
          <t>REQ-002</t>
        </is>
      </c>
      <c r="B3" s="3" t="inlineStr">
        <is>
          <t>Customer Onboarding</t>
        </is>
      </c>
      <c r="C3" s="3" t="inlineStr">
        <is>
          <t>Automated PEP and sanctions screening during onboarding</t>
        </is>
      </c>
      <c r="D3" s="3" t="inlineStr">
        <is>
          <t>High</t>
        </is>
      </c>
      <c r="E3" s="3" t="inlineStr">
        <is>
          <t>Must</t>
        </is>
      </c>
      <c r="F3" s="3" t="inlineStr">
        <is>
          <t>Full Fit</t>
        </is>
      </c>
      <c r="G3" s="3" t="inlineStr">
        <is>
          <t>Compliance screening module includes PEP/sanctions lists</t>
        </is>
      </c>
    </row>
    <row r="4">
      <c r="A4" s="2" t="inlineStr">
        <is>
          <t>REQ-003</t>
        </is>
      </c>
      <c r="B4" s="2" t="inlineStr">
        <is>
          <t>Account Management</t>
        </is>
      </c>
      <c r="C4" s="2" t="inlineStr">
        <is>
          <t>Multi-currency account opening with real-time FX conversion</t>
        </is>
      </c>
      <c r="D4" s="2" t="inlineStr">
        <is>
          <t>Medium</t>
        </is>
      </c>
      <c r="E4" s="2" t="inlineStr">
        <is>
          <t>Should</t>
        </is>
      </c>
      <c r="F4" s="2" t="inlineStr">
        <is>
          <t>Partial Fit</t>
        </is>
      </c>
      <c r="G4" s="2" t="inlineStr">
        <is>
          <t>Multi-currency supported; real-time FX requires integration</t>
        </is>
      </c>
    </row>
    <row r="5">
      <c r="A5" s="3" t="inlineStr">
        <is>
          <t>REQ-008</t>
        </is>
      </c>
      <c r="B5" s="3" t="inlineStr">
        <is>
          <t>Lending</t>
        </is>
      </c>
      <c r="C5" s="3" t="inlineStr">
        <is>
          <t>Dynamic interest rate adjustment based on risk profile changes</t>
        </is>
      </c>
      <c r="D5" s="3" t="inlineStr">
        <is>
          <t>Medium</t>
        </is>
      </c>
      <c r="E5" s="3" t="inlineStr">
        <is>
          <t>Should</t>
        </is>
      </c>
      <c r="F5" s="3" t="inlineStr">
        <is>
          <t>No Fit</t>
        </is>
      </c>
      <c r="G5" s="3" t="inlineStr">
        <is>
          <t>Dynamic rate adjustment not supported in standard product</t>
        </is>
      </c>
    </row>
    <row r="6">
      <c r="A6" s="2" t="inlineStr">
        <is>
          <t>REQ-010</t>
        </is>
      </c>
      <c r="B6" s="2" t="inlineStr">
        <is>
          <t>Reporting</t>
        </is>
      </c>
      <c r="C6" s="2" t="inlineStr">
        <is>
          <t>Real-time management dashboards with drill-down capability</t>
        </is>
      </c>
      <c r="D6" s="2" t="inlineStr">
        <is>
          <t>Medium</t>
        </is>
      </c>
      <c r="E6" s="2" t="inlineStr">
        <is>
          <t>Could</t>
        </is>
      </c>
      <c r="F6" s="2" t="inlineStr">
        <is>
          <t>No Fit</t>
        </is>
      </c>
      <c r="G6" s="2" t="inlineStr">
        <is>
          <t>Standard reports are batch-based; no real-time drill-down</t>
        </is>
      </c>
    </row>
  </sheetData>
  <dataValidations count="3">
    <dataValidation sqref="D2:D50" showDropDown="0" showInputMessage="0" showErrorMessage="0" allowBlank="1" type="list">
      <formula1>"High,Medium,Low"</formula1>
    </dataValidation>
    <dataValidation sqref="E2:E50" showDropDown="0" showInputMessage="0" showErrorMessage="0" allowBlank="1" type="list">
      <formula1>"Must,Should,Could,Won't"</formula1>
    </dataValidation>
    <dataValidation sqref="F2:F50" showDropDown="0" showInputMessage="0" showErrorMessage="0" allowBlank="1" type="list">
      <formula1>"Full Fit,Partial Fit,No Fit,Not Assessed"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45" customWidth="1" min="4" max="4"/>
    <col width="18" customWidth="1" min="5" max="5"/>
    <col width="12" customWidth="1" min="6" max="6"/>
    <col width="10" customWidth="1" min="7" max="7"/>
    <col width="40" customWidth="1" min="8" max="8"/>
    <col width="12" customWidth="1" min="9" max="9"/>
  </cols>
  <sheetData>
    <row r="1" ht="32" customHeight="1">
      <c r="A1" s="1" t="inlineStr">
        <is>
          <t>Req ID</t>
        </is>
      </c>
      <c r="B1" s="1" t="inlineStr">
        <is>
          <t>Description</t>
        </is>
      </c>
      <c r="C1" s="1" t="inlineStr">
        <is>
          <t>Fit Rating</t>
        </is>
      </c>
      <c r="D1" s="1" t="inlineStr">
        <is>
          <t>Gap Description</t>
        </is>
      </c>
      <c r="E1" s="1" t="inlineStr">
        <is>
          <t>Resolution Type</t>
        </is>
      </c>
      <c r="F1" s="1" t="inlineStr">
        <is>
          <t>Effort (Days)</t>
        </is>
      </c>
      <c r="G1" s="1" t="inlineStr">
        <is>
          <t>Risk</t>
        </is>
      </c>
      <c r="H1" s="1" t="inlineStr">
        <is>
          <t>Notes</t>
        </is>
      </c>
      <c r="I1" s="1" t="inlineStr">
        <is>
          <t>Parking Lot?</t>
        </is>
      </c>
    </row>
    <row r="2">
      <c r="A2" s="2" t="inlineStr">
        <is>
          <t>REQ-001</t>
        </is>
      </c>
      <c r="B2" s="2" t="inlineStr">
        <is>
          <t>Digital KYC with biometric checks</t>
        </is>
      </c>
      <c r="C2" s="2" t="inlineStr">
        <is>
          <t>Full Fit</t>
        </is>
      </c>
      <c r="D2" s="2" t="inlineStr"/>
      <c r="E2" s="2" t="inlineStr">
        <is>
          <t>Configuration</t>
        </is>
      </c>
      <c r="F2" s="2" t="n">
        <v>5</v>
      </c>
      <c r="G2" s="2" t="inlineStr">
        <is>
          <t>Low</t>
        </is>
      </c>
      <c r="H2" s="2" t="inlineStr">
        <is>
          <t>Standard module confirmed by Temenos SME via live demo</t>
        </is>
      </c>
      <c r="I2" s="2" t="inlineStr">
        <is>
          <t>No</t>
        </is>
      </c>
    </row>
    <row r="3">
      <c r="A3" s="3" t="inlineStr">
        <is>
          <t>REQ-002</t>
        </is>
      </c>
      <c r="B3" s="3" t="inlineStr">
        <is>
          <t>PEP and sanctions screening</t>
        </is>
      </c>
      <c r="C3" s="3" t="inlineStr">
        <is>
          <t>Full Fit</t>
        </is>
      </c>
      <c r="D3" s="3" t="inlineStr"/>
      <c r="E3" s="3" t="inlineStr">
        <is>
          <t>Configuration</t>
        </is>
      </c>
      <c r="F3" s="3" t="n">
        <v>3</v>
      </c>
      <c r="G3" s="3" t="inlineStr">
        <is>
          <t>Low</t>
        </is>
      </c>
      <c r="H3" s="3" t="inlineStr">
        <is>
          <t>Compliance module demonstrated; lists refreshed daily</t>
        </is>
      </c>
      <c r="I3" s="3" t="inlineStr">
        <is>
          <t>No</t>
        </is>
      </c>
    </row>
    <row r="4">
      <c r="A4" s="2" t="inlineStr">
        <is>
          <t>REQ-003</t>
        </is>
      </c>
      <c r="B4" s="2" t="inlineStr">
        <is>
          <t>Multi-currency with real-time FX</t>
        </is>
      </c>
      <c r="C4" s="2" t="inlineStr">
        <is>
          <t>Partial Fit</t>
        </is>
      </c>
      <c r="D4" s="2" t="inlineStr">
        <is>
          <t>Platform supports multi-currency but FX rates require external provider integration</t>
        </is>
      </c>
      <c r="E4" s="2" t="inlineStr">
        <is>
          <t>Extension</t>
        </is>
      </c>
      <c r="F4" s="2" t="n">
        <v>15</v>
      </c>
      <c r="G4" s="2" t="inlineStr">
        <is>
          <t>Medium</t>
        </is>
      </c>
      <c r="H4" s="2" t="inlineStr">
        <is>
          <t>Need FX provider selection before final estimate</t>
        </is>
      </c>
      <c r="I4" s="2" t="inlineStr">
        <is>
          <t>No</t>
        </is>
      </c>
    </row>
    <row r="5">
      <c r="A5" s="3" t="inlineStr">
        <is>
          <t>REQ-008</t>
        </is>
      </c>
      <c r="B5" s="3" t="inlineStr">
        <is>
          <t>Dynamic interest rate adjustment</t>
        </is>
      </c>
      <c r="C5" s="3" t="inlineStr">
        <is>
          <t>No Fit</t>
        </is>
      </c>
      <c r="D5" s="3" t="inlineStr">
        <is>
          <t>Platform supports rate changes via batch but not event-driven rate adjustment based on real-time risk events</t>
        </is>
      </c>
      <c r="E5" s="3" t="inlineStr">
        <is>
          <t>Customisation</t>
        </is>
      </c>
      <c r="F5" s="3" t="n">
        <v>40</v>
      </c>
      <c r="G5" s="3" t="inlineStr">
        <is>
          <t>High</t>
        </is>
      </c>
      <c r="H5" s="3" t="inlineStr">
        <is>
          <t>Candidate for CUS-001; score below 5.0 expected</t>
        </is>
      </c>
      <c r="I5" s="3" t="inlineStr">
        <is>
          <t>No</t>
        </is>
      </c>
    </row>
    <row r="6">
      <c r="A6" s="2" t="inlineStr">
        <is>
          <t>REQ-010</t>
        </is>
      </c>
      <c r="B6" s="2" t="inlineStr">
        <is>
          <t>Real-time dashboards with drill-down</t>
        </is>
      </c>
      <c r="C6" s="2" t="inlineStr">
        <is>
          <t>No Fit</t>
        </is>
      </c>
      <c r="D6" s="2" t="inlineStr">
        <is>
          <t>Standard reports are batch-based; drill-down requires custom UI layer over reporting APIs</t>
        </is>
      </c>
      <c r="E6" s="2" t="inlineStr">
        <is>
          <t>Customisation</t>
        </is>
      </c>
      <c r="F6" s="2" t="n">
        <v>35</v>
      </c>
      <c r="G6" s="2" t="inlineStr">
        <is>
          <t>Medium</t>
        </is>
      </c>
      <c r="H6" s="2" t="inlineStr">
        <is>
          <t>Candidate for CUS-002; UI-only customisation</t>
        </is>
      </c>
      <c r="I6" s="2" t="inlineStr">
        <is>
          <t>No</t>
        </is>
      </c>
    </row>
  </sheetData>
  <dataValidations count="4">
    <dataValidation sqref="C2:C50" showDropDown="0" showInputMessage="0" showErrorMessage="0" allowBlank="1" type="list">
      <formula1>"Full Fit,Partial Fit,No Fit,Not Assessed,Deferred"</formula1>
    </dataValidation>
    <dataValidation sqref="E2:E50" showDropDown="0" showInputMessage="0" showErrorMessage="0" allowBlank="1" type="list">
      <formula1>"Configuration,Extension,Customisation,Process Change,Workaround,Deferred"</formula1>
    </dataValidation>
    <dataValidation sqref="G2:G50" showDropDown="0" showInputMessage="0" showErrorMessage="0" allowBlank="1" type="list">
      <formula1>"High,Medium,Low"</formula1>
    </dataValidation>
    <dataValidation sqref="I2:I5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4" customWidth="1" min="4" max="4"/>
    <col width="16" customWidth="1" min="5" max="5"/>
    <col width="16" customWidth="1" min="6" max="6"/>
    <col width="12" customWidth="1" min="7" max="7"/>
    <col width="16" customWidth="1" min="8" max="8"/>
    <col width="14" customWidth="1" min="9" max="9"/>
    <col width="14" customWidth="1" min="10" max="10"/>
    <col width="20" customWidth="1" min="11" max="11"/>
    <col width="20" customWidth="1" min="12" max="12"/>
    <col width="16" customWidth="1" min="13" max="13"/>
  </cols>
  <sheetData>
    <row r="1" ht="32" customHeight="1">
      <c r="A1" s="1" t="inlineStr">
        <is>
          <t>CUS ID</t>
        </is>
      </c>
      <c r="B1" s="1" t="inlineStr">
        <is>
          <t>Req ID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Upgrade Compat (30%)</t>
        </is>
      </c>
      <c r="F1" s="1" t="inlineStr">
        <is>
          <t>Business Crit (25%)</t>
        </is>
      </c>
      <c r="G1" s="1" t="inlineStr">
        <is>
          <t>TCO (20%)</t>
        </is>
      </c>
      <c r="H1" s="1" t="inlineStr">
        <is>
          <t>Workaround Feas (15%)</t>
        </is>
      </c>
      <c r="I1" s="1" t="inlineStr">
        <is>
          <t>Impl Risk (10%)</t>
        </is>
      </c>
      <c r="J1" s="1" t="inlineStr">
        <is>
          <t>Weighted Score</t>
        </is>
      </c>
      <c r="K1" s="1" t="inlineStr">
        <is>
          <t>Threshold</t>
        </is>
      </c>
      <c r="L1" s="1" t="inlineStr">
        <is>
          <t>Approver</t>
        </is>
      </c>
      <c r="M1" s="1" t="inlineStr">
        <is>
          <t>Status</t>
        </is>
      </c>
    </row>
    <row r="2">
      <c r="A2" s="2" t="inlineStr">
        <is>
          <t>CUS-001</t>
        </is>
      </c>
      <c r="B2" s="2" t="inlineStr">
        <is>
          <t>REQ-008</t>
        </is>
      </c>
      <c r="C2" s="2" t="inlineStr">
        <is>
          <t>Dynamic rate adjustment based on real-time risk events</t>
        </is>
      </c>
      <c r="D2" s="2" t="inlineStr">
        <is>
          <t>Core Logic</t>
        </is>
      </c>
      <c r="E2" s="2" t="n">
        <v>3</v>
      </c>
      <c r="F2" s="2" t="n">
        <v>8</v>
      </c>
      <c r="G2" s="2" t="n">
        <v>4</v>
      </c>
      <c r="H2" s="2" t="n">
        <v>2</v>
      </c>
      <c r="I2" s="2" t="n">
        <v>5</v>
      </c>
      <c r="J2" s="2">
        <f>(E2*0.3)+(F2*0.25)+(G2*0.2)+(H2*0.15)+(I2*0.1)</f>
        <v/>
      </c>
      <c r="K2" s="2">
        <f>IF(J2&gt;=5,"Design Authority","Steering Committee")</f>
        <v/>
      </c>
      <c r="L2" s="2" t="inlineStr">
        <is>
          <t>Steering Committee</t>
        </is>
      </c>
      <c r="M2" s="2" t="inlineStr">
        <is>
          <t>Proposed</t>
        </is>
      </c>
    </row>
    <row r="3">
      <c r="A3" s="3" t="inlineStr">
        <is>
          <t>CUS-002</t>
        </is>
      </c>
      <c r="B3" s="3" t="inlineStr">
        <is>
          <t>REQ-010</t>
        </is>
      </c>
      <c r="C3" s="3" t="inlineStr">
        <is>
          <t>Real-time management dashboard with drill-down analytics</t>
        </is>
      </c>
      <c r="D3" s="3" t="inlineStr">
        <is>
          <t>UI</t>
        </is>
      </c>
      <c r="E3" s="3" t="n">
        <v>7</v>
      </c>
      <c r="F3" s="3" t="n">
        <v>6</v>
      </c>
      <c r="G3" s="3" t="n">
        <v>7</v>
      </c>
      <c r="H3" s="3" t="n">
        <v>3</v>
      </c>
      <c r="I3" s="3" t="n">
        <v>6</v>
      </c>
      <c r="J3" s="3">
        <f>(E3*0.3)+(F3*0.25)+(G3*0.2)+(H3*0.15)+(I3*0.1)</f>
        <v/>
      </c>
      <c r="K3" s="3">
        <f>IF(J3&gt;=5,"Design Authority","Steering Committee")</f>
        <v/>
      </c>
      <c r="L3" s="3" t="inlineStr">
        <is>
          <t>Design Authority</t>
        </is>
      </c>
      <c r="M3" s="3" t="inlineStr">
        <is>
          <t>Under Review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>
        <f>IF(COUNT(E4:I4)=5,(E4*0.3)+(F4*0.25)+(G4*0.2)+(H4*0.15)+(I4*0.1),"")</f>
        <v/>
      </c>
      <c r="K4" s="2">
        <f>IF(ISNUMBER(J4),IF(J4&gt;=5,"Design Authority","Steering Committee"),"")</f>
        <v/>
      </c>
      <c r="L4" s="2" t="n"/>
      <c r="M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>
        <f>IF(COUNT(E5:I5)=5,(E5*0.3)+(F5*0.25)+(G5*0.2)+(H5*0.15)+(I5*0.1),"")</f>
        <v/>
      </c>
      <c r="K5" s="3">
        <f>IF(ISNUMBER(J5),IF(J5&gt;=5,"Design Authority","Steering Committee"),"")</f>
        <v/>
      </c>
      <c r="L5" s="3" t="n"/>
      <c r="M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>
        <f>IF(COUNT(E6:I6)=5,(E6*0.3)+(F6*0.25)+(G6*0.2)+(H6*0.15)+(I6*0.1),"")</f>
        <v/>
      </c>
      <c r="K6" s="2">
        <f>IF(ISNUMBER(J6),IF(J6&gt;=5,"Design Authority","Steering Committee"),"")</f>
        <v/>
      </c>
      <c r="L6" s="2" t="n"/>
      <c r="M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>
        <f>IF(COUNT(E7:I7)=5,(E7*0.3)+(F7*0.25)+(G7*0.2)+(H7*0.15)+(I7*0.1),"")</f>
        <v/>
      </c>
      <c r="K7" s="3">
        <f>IF(ISNUMBER(J7),IF(J7&gt;=5,"Design Authority","Steering Committee"),"")</f>
        <v/>
      </c>
      <c r="L7" s="3" t="n"/>
      <c r="M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>
        <f>IF(COUNT(E8:I8)=5,(E8*0.3)+(F8*0.25)+(G8*0.2)+(H8*0.15)+(I8*0.1),"")</f>
        <v/>
      </c>
      <c r="K8" s="2">
        <f>IF(ISNUMBER(J8),IF(J8&gt;=5,"Design Authority","Steering Committee"),"")</f>
        <v/>
      </c>
      <c r="L8" s="2" t="n"/>
      <c r="M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>
        <f>IF(COUNT(E9:I9)=5,(E9*0.3)+(F9*0.25)+(G9*0.2)+(H9*0.15)+(I9*0.1),"")</f>
        <v/>
      </c>
      <c r="K9" s="3">
        <f>IF(ISNUMBER(J9),IF(J9&gt;=5,"Design Authority","Steering Committee"),"")</f>
        <v/>
      </c>
      <c r="L9" s="3" t="n"/>
      <c r="M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>
        <f>IF(COUNT(E10:I10)=5,(E10*0.3)+(F10*0.25)+(G10*0.2)+(H10*0.15)+(I10*0.1),"")</f>
        <v/>
      </c>
      <c r="K10" s="2">
        <f>IF(ISNUMBER(J10),IF(J10&gt;=5,"Design Authority","Steering Committee"),"")</f>
        <v/>
      </c>
      <c r="L10" s="2" t="n"/>
      <c r="M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>
        <f>IF(COUNT(E11:I11)=5,(E11*0.3)+(F11*0.25)+(G11*0.2)+(H11*0.15)+(I11*0.1),"")</f>
        <v/>
      </c>
      <c r="K11" s="3">
        <f>IF(ISNUMBER(J11),IF(J11&gt;=5,"Design Authority","Steering Committee"),"")</f>
        <v/>
      </c>
      <c r="L11" s="3" t="n"/>
      <c r="M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>
        <f>IF(COUNT(E12:I12)=5,(E12*0.3)+(F12*0.25)+(G12*0.2)+(H12*0.15)+(I12*0.1),"")</f>
        <v/>
      </c>
      <c r="K12" s="2">
        <f>IF(ISNUMBER(J12),IF(J12&gt;=5,"Design Authority","Steering Committee"),"")</f>
        <v/>
      </c>
      <c r="L12" s="2" t="n"/>
      <c r="M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>
        <f>IF(COUNT(E13:I13)=5,(E13*0.3)+(F13*0.25)+(G13*0.2)+(H13*0.15)+(I13*0.1),"")</f>
        <v/>
      </c>
      <c r="K13" s="3">
        <f>IF(ISNUMBER(J13),IF(J13&gt;=5,"Design Authority","Steering Committee"),"")</f>
        <v/>
      </c>
      <c r="L13" s="3" t="n"/>
      <c r="M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>
        <f>IF(COUNT(E14:I14)=5,(E14*0.3)+(F14*0.25)+(G14*0.2)+(H14*0.15)+(I14*0.1),"")</f>
        <v/>
      </c>
      <c r="K14" s="2">
        <f>IF(ISNUMBER(J14),IF(J14&gt;=5,"Design Authority","Steering Committee"),"")</f>
        <v/>
      </c>
      <c r="L14" s="2" t="n"/>
      <c r="M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>
        <f>IF(COUNT(E15:I15)=5,(E15*0.3)+(F15*0.25)+(G15*0.2)+(H15*0.15)+(I15*0.1),"")</f>
        <v/>
      </c>
      <c r="K15" s="3">
        <f>IF(ISNUMBER(J15),IF(J15&gt;=5,"Design Authority","Steering Committee"),"")</f>
        <v/>
      </c>
      <c r="L15" s="3" t="n"/>
      <c r="M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>
        <f>IF(COUNT(E16:I16)=5,(E16*0.3)+(F16*0.25)+(G16*0.2)+(H16*0.15)+(I16*0.1),"")</f>
        <v/>
      </c>
      <c r="K16" s="2">
        <f>IF(ISNUMBER(J16),IF(J16&gt;=5,"Design Authority","Steering Committee"),"")</f>
        <v/>
      </c>
      <c r="L16" s="2" t="n"/>
      <c r="M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>
        <f>IF(COUNT(E17:I17)=5,(E17*0.3)+(F17*0.25)+(G17*0.2)+(H17*0.15)+(I17*0.1),"")</f>
        <v/>
      </c>
      <c r="K17" s="3">
        <f>IF(ISNUMBER(J17),IF(J17&gt;=5,"Design Authority","Steering Committee"),"")</f>
        <v/>
      </c>
      <c r="L17" s="3" t="n"/>
      <c r="M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>
        <f>IF(COUNT(E18:I18)=5,(E18*0.3)+(F18*0.25)+(G18*0.2)+(H18*0.15)+(I18*0.1),"")</f>
        <v/>
      </c>
      <c r="K18" s="2">
        <f>IF(ISNUMBER(J18),IF(J18&gt;=5,"Design Authority","Steering Committee"),"")</f>
        <v/>
      </c>
      <c r="L18" s="2" t="n"/>
      <c r="M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>
        <f>IF(COUNT(E19:I19)=5,(E19*0.3)+(F19*0.25)+(G19*0.2)+(H19*0.15)+(I19*0.1),"")</f>
        <v/>
      </c>
      <c r="K19" s="3">
        <f>IF(ISNUMBER(J19),IF(J19&gt;=5,"Design Authority","Steering Committee"),"")</f>
        <v/>
      </c>
      <c r="L19" s="3" t="n"/>
      <c r="M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>
        <f>IF(COUNT(E20:I20)=5,(E20*0.3)+(F20*0.25)+(G20*0.2)+(H20*0.15)+(I20*0.1),"")</f>
        <v/>
      </c>
      <c r="K20" s="2">
        <f>IF(ISNUMBER(J20),IF(J20&gt;=5,"Design Authority","Steering Committee"),"")</f>
        <v/>
      </c>
      <c r="L20" s="2" t="n"/>
      <c r="M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>
        <f>IF(COUNT(E21:I21)=5,(E21*0.3)+(F21*0.25)+(G21*0.2)+(H21*0.15)+(I21*0.1),"")</f>
        <v/>
      </c>
      <c r="K21" s="3">
        <f>IF(ISNUMBER(J21),IF(J21&gt;=5,"Design Authority","Steering Committee"),"")</f>
        <v/>
      </c>
      <c r="L21" s="3" t="n"/>
      <c r="M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>
        <f>IF(COUNT(E22:I22)=5,(E22*0.3)+(F22*0.25)+(G22*0.2)+(H22*0.15)+(I22*0.1),"")</f>
        <v/>
      </c>
      <c r="K22" s="2">
        <f>IF(ISNUMBER(J22),IF(J22&gt;=5,"Design Authority","Steering Committee"),"")</f>
        <v/>
      </c>
      <c r="L22" s="2" t="n"/>
      <c r="M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>
        <f>IF(COUNT(E23:I23)=5,(E23*0.3)+(F23*0.25)+(G23*0.2)+(H23*0.15)+(I23*0.1),"")</f>
        <v/>
      </c>
      <c r="K23" s="3">
        <f>IF(ISNUMBER(J23),IF(J23&gt;=5,"Design Authority","Steering Committee"),"")</f>
        <v/>
      </c>
      <c r="L23" s="3" t="n"/>
      <c r="M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>
        <f>IF(COUNT(E24:I24)=5,(E24*0.3)+(F24*0.25)+(G24*0.2)+(H24*0.15)+(I24*0.1),"")</f>
        <v/>
      </c>
      <c r="K24" s="2">
        <f>IF(ISNUMBER(J24),IF(J24&gt;=5,"Design Authority","Steering Committee"),"")</f>
        <v/>
      </c>
      <c r="L24" s="2" t="n"/>
      <c r="M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>
        <f>IF(COUNT(E25:I25)=5,(E25*0.3)+(F25*0.25)+(G25*0.2)+(H25*0.15)+(I25*0.1),"")</f>
        <v/>
      </c>
      <c r="K25" s="3">
        <f>IF(ISNUMBER(J25),IF(J25&gt;=5,"Design Authority","Steering Committee"),"")</f>
        <v/>
      </c>
      <c r="L25" s="3" t="n"/>
      <c r="M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>
        <f>IF(COUNT(E26:I26)=5,(E26*0.3)+(F26*0.25)+(G26*0.2)+(H26*0.15)+(I26*0.1),"")</f>
        <v/>
      </c>
      <c r="K26" s="2">
        <f>IF(ISNUMBER(J26),IF(J26&gt;=5,"Design Authority","Steering Committee"),"")</f>
        <v/>
      </c>
      <c r="L26" s="2" t="n"/>
      <c r="M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>
        <f>IF(COUNT(E27:I27)=5,(E27*0.3)+(F27*0.25)+(G27*0.2)+(H27*0.15)+(I27*0.1),"")</f>
        <v/>
      </c>
      <c r="K27" s="3">
        <f>IF(ISNUMBER(J27),IF(J27&gt;=5,"Design Authority","Steering Committee"),"")</f>
        <v/>
      </c>
      <c r="L27" s="3" t="n"/>
      <c r="M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>
        <f>IF(COUNT(E28:I28)=5,(E28*0.3)+(F28*0.25)+(G28*0.2)+(H28*0.15)+(I28*0.1),"")</f>
        <v/>
      </c>
      <c r="K28" s="2">
        <f>IF(ISNUMBER(J28),IF(J28&gt;=5,"Design Authority","Steering Committee"),"")</f>
        <v/>
      </c>
      <c r="L28" s="2" t="n"/>
      <c r="M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>
        <f>IF(COUNT(E29:I29)=5,(E29*0.3)+(F29*0.25)+(G29*0.2)+(H29*0.15)+(I29*0.1),"")</f>
        <v/>
      </c>
      <c r="K29" s="3">
        <f>IF(ISNUMBER(J29),IF(J29&gt;=5,"Design Authority","Steering Committee"),"")</f>
        <v/>
      </c>
      <c r="L29" s="3" t="n"/>
      <c r="M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>
        <f>IF(COUNT(E30:I30)=5,(E30*0.3)+(F30*0.25)+(G30*0.2)+(H30*0.15)+(I30*0.1),"")</f>
        <v/>
      </c>
      <c r="K30" s="2">
        <f>IF(ISNUMBER(J30),IF(J30&gt;=5,"Design Authority","Steering Committee"),"")</f>
        <v/>
      </c>
      <c r="L30" s="2" t="n"/>
      <c r="M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>
        <f>IF(COUNT(E31:I31)=5,(E31*0.3)+(F31*0.25)+(G31*0.2)+(H31*0.15)+(I31*0.1),"")</f>
        <v/>
      </c>
      <c r="K31" s="3">
        <f>IF(ISNUMBER(J31),IF(J31&gt;=5,"Design Authority","Steering Committee"),"")</f>
        <v/>
      </c>
      <c r="L31" s="3" t="n"/>
      <c r="M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>
        <f>IF(COUNT(E32:I32)=5,(E32*0.3)+(F32*0.25)+(G32*0.2)+(H32*0.15)+(I32*0.1),"")</f>
        <v/>
      </c>
      <c r="K32" s="2">
        <f>IF(ISNUMBER(J32),IF(J32&gt;=5,"Design Authority","Steering Committee"),"")</f>
        <v/>
      </c>
      <c r="L32" s="2" t="n"/>
      <c r="M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>
        <f>IF(COUNT(E33:I33)=5,(E33*0.3)+(F33*0.25)+(G33*0.2)+(H33*0.15)+(I33*0.1),"")</f>
        <v/>
      </c>
      <c r="K33" s="3">
        <f>IF(ISNUMBER(J33),IF(J33&gt;=5,"Design Authority","Steering Committee"),"")</f>
        <v/>
      </c>
      <c r="L33" s="3" t="n"/>
      <c r="M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>
        <f>IF(COUNT(E34:I34)=5,(E34*0.3)+(F34*0.25)+(G34*0.2)+(H34*0.15)+(I34*0.1),"")</f>
        <v/>
      </c>
      <c r="K34" s="2">
        <f>IF(ISNUMBER(J34),IF(J34&gt;=5,"Design Authority","Steering Committee"),"")</f>
        <v/>
      </c>
      <c r="L34" s="2" t="n"/>
      <c r="M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>
        <f>IF(COUNT(E35:I35)=5,(E35*0.3)+(F35*0.25)+(G35*0.2)+(H35*0.15)+(I35*0.1),"")</f>
        <v/>
      </c>
      <c r="K35" s="3">
        <f>IF(ISNUMBER(J35),IF(J35&gt;=5,"Design Authority","Steering Committee"),"")</f>
        <v/>
      </c>
      <c r="L35" s="3" t="n"/>
      <c r="M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>
        <f>IF(COUNT(E36:I36)=5,(E36*0.3)+(F36*0.25)+(G36*0.2)+(H36*0.15)+(I36*0.1),"")</f>
        <v/>
      </c>
      <c r="K36" s="2">
        <f>IF(ISNUMBER(J36),IF(J36&gt;=5,"Design Authority","Steering Committee"),"")</f>
        <v/>
      </c>
      <c r="L36" s="2" t="n"/>
      <c r="M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>
        <f>IF(COUNT(E37:I37)=5,(E37*0.3)+(F37*0.25)+(G37*0.2)+(H37*0.15)+(I37*0.1),"")</f>
        <v/>
      </c>
      <c r="K37" s="3">
        <f>IF(ISNUMBER(J37),IF(J37&gt;=5,"Design Authority","Steering Committee"),"")</f>
        <v/>
      </c>
      <c r="L37" s="3" t="n"/>
      <c r="M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>
        <f>IF(COUNT(E38:I38)=5,(E38*0.3)+(F38*0.25)+(G38*0.2)+(H38*0.15)+(I38*0.1),"")</f>
        <v/>
      </c>
      <c r="K38" s="2">
        <f>IF(ISNUMBER(J38),IF(J38&gt;=5,"Design Authority","Steering Committee"),"")</f>
        <v/>
      </c>
      <c r="L38" s="2" t="n"/>
      <c r="M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>
        <f>IF(COUNT(E39:I39)=5,(E39*0.3)+(F39*0.25)+(G39*0.2)+(H39*0.15)+(I39*0.1),"")</f>
        <v/>
      </c>
      <c r="K39" s="3">
        <f>IF(ISNUMBER(J39),IF(J39&gt;=5,"Design Authority","Steering Committee"),"")</f>
        <v/>
      </c>
      <c r="L39" s="3" t="n"/>
      <c r="M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>
        <f>IF(COUNT(E40:I40)=5,(E40*0.3)+(F40*0.25)+(G40*0.2)+(H40*0.15)+(I40*0.1),"")</f>
        <v/>
      </c>
      <c r="K40" s="2">
        <f>IF(ISNUMBER(J40),IF(J40&gt;=5,"Design Authority","Steering Committee"),"")</f>
        <v/>
      </c>
      <c r="L40" s="2" t="n"/>
      <c r="M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>
        <f>IF(COUNT(E41:I41)=5,(E41*0.3)+(F41*0.25)+(G41*0.2)+(H41*0.15)+(I41*0.1),"")</f>
        <v/>
      </c>
      <c r="K41" s="3">
        <f>IF(ISNUMBER(J41),IF(J41&gt;=5,"Design Authority","Steering Committee"),"")</f>
        <v/>
      </c>
      <c r="L41" s="3" t="n"/>
      <c r="M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>
        <f>IF(COUNT(E42:I42)=5,(E42*0.3)+(F42*0.25)+(G42*0.2)+(H42*0.15)+(I42*0.1),"")</f>
        <v/>
      </c>
      <c r="K42" s="2">
        <f>IF(ISNUMBER(J42),IF(J42&gt;=5,"Design Authority","Steering Committee"),"")</f>
        <v/>
      </c>
      <c r="L42" s="2" t="n"/>
      <c r="M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>
        <f>IF(COUNT(E43:I43)=5,(E43*0.3)+(F43*0.25)+(G43*0.2)+(H43*0.15)+(I43*0.1),"")</f>
        <v/>
      </c>
      <c r="K43" s="3">
        <f>IF(ISNUMBER(J43),IF(J43&gt;=5,"Design Authority","Steering Committee"),"")</f>
        <v/>
      </c>
      <c r="L43" s="3" t="n"/>
      <c r="M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>
        <f>IF(COUNT(E44:I44)=5,(E44*0.3)+(F44*0.25)+(G44*0.2)+(H44*0.15)+(I44*0.1),"")</f>
        <v/>
      </c>
      <c r="K44" s="2">
        <f>IF(ISNUMBER(J44),IF(J44&gt;=5,"Design Authority","Steering Committee"),"")</f>
        <v/>
      </c>
      <c r="L44" s="2" t="n"/>
      <c r="M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>
        <f>IF(COUNT(E45:I45)=5,(E45*0.3)+(F45*0.25)+(G45*0.2)+(H45*0.15)+(I45*0.1),"")</f>
        <v/>
      </c>
      <c r="K45" s="3">
        <f>IF(ISNUMBER(J45),IF(J45&gt;=5,"Design Authority","Steering Committee"),"")</f>
        <v/>
      </c>
      <c r="L45" s="3" t="n"/>
      <c r="M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>
        <f>IF(COUNT(E46:I46)=5,(E46*0.3)+(F46*0.25)+(G46*0.2)+(H46*0.15)+(I46*0.1),"")</f>
        <v/>
      </c>
      <c r="K46" s="2">
        <f>IF(ISNUMBER(J46),IF(J46&gt;=5,"Design Authority","Steering Committee"),"")</f>
        <v/>
      </c>
      <c r="L46" s="2" t="n"/>
      <c r="M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>
        <f>IF(COUNT(E47:I47)=5,(E47*0.3)+(F47*0.25)+(G47*0.2)+(H47*0.15)+(I47*0.1),"")</f>
        <v/>
      </c>
      <c r="K47" s="3">
        <f>IF(ISNUMBER(J47),IF(J47&gt;=5,"Design Authority","Steering Committee"),"")</f>
        <v/>
      </c>
      <c r="L47" s="3" t="n"/>
      <c r="M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>
        <f>IF(COUNT(E48:I48)=5,(E48*0.3)+(F48*0.25)+(G48*0.2)+(H48*0.15)+(I48*0.1),"")</f>
        <v/>
      </c>
      <c r="K48" s="2">
        <f>IF(ISNUMBER(J48),IF(J48&gt;=5,"Design Authority","Steering Committee"),"")</f>
        <v/>
      </c>
      <c r="L48" s="2" t="n"/>
      <c r="M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>
        <f>IF(COUNT(E49:I49)=5,(E49*0.3)+(F49*0.25)+(G49*0.2)+(H49*0.15)+(I49*0.1),"")</f>
        <v/>
      </c>
      <c r="K49" s="3">
        <f>IF(ISNUMBER(J49),IF(J49&gt;=5,"Design Authority","Steering Committee"),"")</f>
        <v/>
      </c>
      <c r="L49" s="3" t="n"/>
      <c r="M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>
        <f>IF(COUNT(E50:I50)=5,(E50*0.3)+(F50*0.25)+(G50*0.2)+(H50*0.15)+(I50*0.1),"")</f>
        <v/>
      </c>
      <c r="K50" s="2">
        <f>IF(ISNUMBER(J50),IF(J50&gt;=5,"Design Authority","Steering Committee"),"")</f>
        <v/>
      </c>
      <c r="L50" s="2" t="n"/>
      <c r="M50" s="2" t="n"/>
    </row>
  </sheetData>
  <conditionalFormatting sqref="J2:J50">
    <cfRule type="cellIs" priority="1" operator="lessThan" dxfId="0">
      <formula>5</formula>
    </cfRule>
    <cfRule type="cellIs" priority="2" operator="greaterThanOrEqual" dxfId="1">
      <formula>5</formula>
    </cfRule>
  </conditionalFormatting>
  <dataValidations count="2">
    <dataValidation sqref="D2:D50" showDropDown="0" showInputMessage="0" showErrorMessage="0" allowBlank="1" type="list">
      <formula1>"Core Logic,UI,Integration,Reporting"</formula1>
    </dataValidation>
    <dataValidation sqref="M2:M50" showDropDown="0" showInputMessage="0" showErrorMessage="0" allowBlank="1" type="list">
      <formula1>"Proposed,Under Review,Approved,Rejected,Implemented"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18" customWidth="1" min="4" max="4"/>
    <col width="20" customWidth="1" min="5" max="5"/>
    <col width="14" customWidth="1" min="6" max="6"/>
    <col width="14" customWidth="1" min="7" max="7"/>
  </cols>
  <sheetData>
    <row r="1" ht="32" customHeight="1">
      <c r="A1" s="1" t="inlineStr">
        <is>
          <t>Item #</t>
        </is>
      </c>
      <c r="B1" s="1" t="inlineStr">
        <is>
          <t>Req ID</t>
        </is>
      </c>
      <c r="C1" s="1" t="inlineStr">
        <is>
          <t>Description</t>
        </is>
      </c>
      <c r="D1" s="1" t="inlineStr">
        <is>
          <t>Reason</t>
        </is>
      </c>
      <c r="E1" s="1" t="inlineStr">
        <is>
          <t>Owner</t>
        </is>
      </c>
      <c r="F1" s="1" t="inlineStr">
        <is>
          <t>Deadline</t>
        </is>
      </c>
      <c r="G1" s="1" t="inlineStr">
        <is>
          <t>Status</t>
        </is>
      </c>
    </row>
    <row r="2">
      <c r="A2" s="2" t="n">
        <v>1</v>
      </c>
      <c r="B2" s="2" t="inlineStr">
        <is>
          <t>REQ-012</t>
        </is>
      </c>
      <c r="C2" s="2" t="inlineStr">
        <is>
          <t>Legacy mainframe data sync during dual-run — need schema and volume info</t>
        </is>
      </c>
      <c r="D2" s="2" t="inlineStr">
        <is>
          <t>Missing Info</t>
        </is>
      </c>
      <c r="E2" s="2" t="inlineStr">
        <is>
          <t>Data Migration Lead</t>
        </is>
      </c>
      <c r="F2" s="2" t="inlineStr">
        <is>
          <t>2026-03-22</t>
        </is>
      </c>
      <c r="G2" s="2" t="inlineStr">
        <is>
          <t>Open</t>
        </is>
      </c>
    </row>
  </sheetData>
  <dataValidations count="2">
    <dataValidation sqref="D2:D50" showDropDown="0" showInputMessage="0" showErrorMessage="0" allowBlank="1" type="list">
      <formula1>"Time,Missing Info,Out of Scope"</formula1>
    </dataValidation>
    <dataValidation sqref="G2:G50" showDropDown="0" showInputMessage="0" showErrorMessage="0" allowBlank="1" type="list">
      <formula1>"Open,Resolved,Deferred"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2026-04-15T20:38:23Z</dcterms:created>
  <dcterms:modified xmlns:dcterms="http://purl.org/dc/terms/" xmlns:xsi="http://www.w3.org/2001/XMLSchema-instance" xsi:type="dcterms:W3CDTF">2026-04-15T20:38:23Z</dcterms:modified>
</cp:coreProperties>
</file>